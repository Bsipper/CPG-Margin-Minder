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59c3f93ab0f4a30" /></Relationships>
</file>

<file path=xl/workbook.xml><?xml version="1.0" encoding="utf-8"?>
<x:workbook xmlns:x="http://schemas.openxmlformats.org/spreadsheetml/2006/main">
  <x:sheets>
    <x:sheet xmlns:r="http://schemas.openxmlformats.org/officeDocument/2006/relationships" name="README" sheetId="1" r:id="Rde80923b4d8d4b99"/>
    <x:sheet xmlns:r="http://schemas.openxmlformats.org/officeDocument/2006/relationships" name="Assumptions" sheetId="2" r:id="Reec4f9ad917a4e92"/>
    <x:sheet xmlns:r="http://schemas.openxmlformats.org/officeDocument/2006/relationships" name="Quote Entry" sheetId="3" r:id="Rad386a7107cf4e0e"/>
    <x:sheet xmlns:r="http://schemas.openxmlformats.org/officeDocument/2006/relationships" name="Summary" sheetId="4" r:id="Rde41a8f2afce4d2d"/>
  </x:sheets>
</x:workbook>
</file>

<file path=xl/comments1.xml><?xml version="1.0" encoding="utf-8"?>
<x:comments xmlns:x="http://schemas.openxmlformats.org/spreadsheetml/2006/main">
  <x:authors>
    <x:author>OpenAI</x:author>
  </x:authors>
  <x:commentList>
    <x:comment ref="B4" authorId="0">
      <x:text>
        <x:r>
          <x:t>Reference only</x:t>
        </x:r>
      </x:text>
    </x:comment>
    <x:comment ref="B5" authorId="0">
      <x:text>
        <x:r>
          <x:t>Required for cost per case calculations</x:t>
        </x:r>
      </x:text>
    </x:comment>
    <x:comment ref="B6" authorId="0">
      <x:text>
        <x:r>
          <x:t>Required for total weight and cost per lb</x:t>
        </x:r>
      </x:text>
    </x:comment>
    <x:comment ref="B7" authorId="0">
      <x:text>
        <x:r>
          <x:t>Update if trailer fit differs from 26 pallets</x:t>
        </x:r>
      </x:text>
    </x:comment>
    <x:comment ref="B8" authorId="0">
      <x:text>
        <x:r>
          <x:t>Example: 48 x 40 x 72</x:t>
        </x:r>
      </x:text>
    </x:comment>
    <x:comment ref="B9" authorId="0">
      <x:text>
        <x:r>
          <x:t>Enter if needed for LTL quotes</x:t>
        </x:r>
      </x:text>
    </x:comment>
    <x:comment ref="B10" authorId="0">
      <x:text>
        <x:r>
          <x:t>Enter Yes or No</x:t>
        </x:r>
      </x:text>
    </x:comment>
    <x:comment ref="B11" authorId="0">
      <x:text>
        <x:r>
          <x:t>Enter Yes or No</x:t>
        </x:r>
      </x:text>
    </x:comment>
    <x:comment ref="B12" authorId="0">
      <x:text>
        <x:r>
          <x:t>Enter Yes or No / depends on receiver</x:t>
        </x:r>
      </x:text>
    </x:comment>
    <x:comment ref="B13" authorId="0">
      <x:text>
        <x:r>
          <x:t>Recommended for apples-to-apples comparison</x:t>
        </x:r>
      </x:text>
    </x:comment>
  </x:commentList>
</x:comments>
</file>

<file path=xl/comments2.xml><?xml version="1.0" encoding="utf-8"?>
<x:comments xmlns:x="http://schemas.openxmlformats.org/spreadsheetml/2006/main">
  <x:authors>
    <x:author>OpenAI</x:author>
  </x:authors>
  <x:commentList>
    <x:comment ref="J3" authorId="0">
      <x:text>
        <x:r>
          <x:t>Enter the all-in freight quote for this route and shipment size.</x:t>
        </x:r>
      </x:text>
    </x:comment>
    <x:comment ref="K3" authorId="0">
      <x:text>
        <x:r>
          <x:t>Carrier or broker providing the quote.</x:t>
        </x:r>
      </x:text>
    </x:comment>
    <x:comment ref="L3" authorId="0">
      <x:text>
        <x:r>
          <x:t>Date the quote was received.</x:t>
        </x:r>
      </x:text>
    </x:comment>
    <x:comment ref="M3" authorId="0">
      <x:text>
        <x:r>
          <x:t>Quoted transit time in days.</x:t>
        </x:r>
      </x:text>
    </x:comment>
    <x:comment ref="N3" authorId="0">
      <x:text>
        <x:r>
          <x:t>Indicate whether fuel surcharge is included.</x:t>
        </x:r>
      </x:text>
    </x:comment>
    <x:comment ref="O3" authorId="0">
      <x:text>
        <x:r>
          <x:t>Capture minimum charges, accessorials, and quote validity notes.</x:t>
        </x:r>
      </x:text>
    </x:comment>
    <x:comment ref="P3" authorId="0">
      <x:text>
        <x:r>
          <x:t>Calculated as Quote Total divided by Pallets.</x:t>
        </x:r>
      </x:text>
    </x:comment>
    <x:comment ref="Q3" authorId="0">
      <x:text>
        <x:r>
          <x:t>Calculated as Quote Total divided by Total Cases.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Red](#,##0);-"/>
    <x:numFmt numFmtId="165" formatCode="$#,##0.00;[Red]($#,##0.00);-"/>
    <x:numFmt numFmtId="166" formatCode="$#,##0.000;[Red]($#,##0.000);-"/>
  </x:numFmts>
  <x:fonts count="10">
    <x:font>
      <x:sz val="11"/>
      <x:color theme="1"/>
      <x:name val="Calibri"/>
      <x:family val="2"/>
      <x:scheme val="minor"/>
    </x:font>
    <x:font>
      <x:b/>
      <x:sz val="16"/>
      <x:color rgb="00FFFFFF"/>
      <x:name val="Calibri"/>
    </x:font>
    <x:font>
      <x:b/>
      <x:sz val="11"/>
      <x:color rgb="00FFFFFF"/>
      <x:name val="Calibri"/>
    </x:font>
    <x:font>
      <x:b/>
    </x:font>
    <x:font>
      <x:i/>
      <x:color rgb="00000000"/>
    </x:font>
    <x:font>
      <x:i/>
      <x:color rgb="00C65911"/>
    </x:font>
    <x:font>
      <x:color rgb="00666666"/>
      <x:name val="Calibri"/>
    </x:font>
    <x:font>
      <x:color rgb="000000FF"/>
      <x:name val="Calibri"/>
    </x:font>
    <x:font>
      <x:b/>
      <x:sz val="10"/>
      <x:color rgb="00000000"/>
      <x:name val="Calibri"/>
    </x:font>
    <x:font>
      <x:color rgb="00000000"/>
      <x:name val="Calibri"/>
    </x:font>
  </x:fonts>
  <x:fills count="8">
    <x:fill>
      <x:patternFill patternType="none"/>
    </x:fill>
    <x:fill>
      <x:patternFill patternType="gray125"/>
    </x:fill>
    <x:fill>
      <x:patternFill patternType="solid">
        <x:fgColor rgb="000F766E"/>
      </x:patternFill>
    </x:fill>
    <x:fill>
      <x:patternFill patternType="solid">
        <x:fgColor rgb="001F3A5F"/>
      </x:patternFill>
    </x:fill>
    <x:fill>
      <x:patternFill patternType="solid">
        <x:fgColor rgb="00DFF4F2"/>
      </x:patternFill>
    </x:fill>
    <x:fill>
      <x:patternFill patternType="solid">
        <x:fgColor rgb="00E7E7E7"/>
      </x:patternFill>
    </x:fill>
    <x:fill>
      <x:patternFill patternType="solid">
        <x:fgColor rgb="00FFF2CC"/>
      </x:patternFill>
    </x:fill>
    <x:fill>
      <x:patternFill patternType="solid">
        <x:fgColor rgb="00D9EAF7"/>
      </x:patternFill>
    </x:fill>
  </x:fills>
  <x:borders count="3">
    <x:border>
      <x:left/>
      <x:right/>
      <x:top/>
      <x:bottom/>
      <x:diagonal/>
    </x:border>
    <x:border>
      <x:bottom style="medium">
        <x:color rgb="000F766E"/>
      </x:bottom>
    </x:border>
    <x:border>
      <x:bottom style="thin">
        <x:color rgb="00D0D0D0"/>
      </x:bottom>
    </x:border>
  </x:borders>
  <x:cellStyleXfs count="1">
    <x:xf numFmtId="0" fontId="0" fillId="0" borderId="0"/>
  </x:cellStyleXfs>
  <x:cellXfs count="28">
    <x:xf numFmtId="0" fontId="0" fillId="0" borderId="0" xfId="0"/>
    <x:xf numFmtId="0" fontId="1" fillId="2" borderId="0" xfId="0" applyAlignment="1">
      <x:alignment horizontal="center" vertical="center"/>
    </x:xf>
    <x:xf numFmtId="0" fontId="2" fillId="3" borderId="0" xfId="0" applyAlignment="1">
      <x:alignment horizontal="left" vertical="center"/>
    </x:xf>
    <x:xf numFmtId="0" fontId="0" fillId="0" borderId="0" xfId="0" applyAlignment="1">
      <x:alignment wrapText="1"/>
    </x:xf>
    <x:xf numFmtId="0" fontId="3" fillId="4" borderId="0" xfId="0"/>
    <x:xf numFmtId="0" fontId="4" fillId="0" borderId="0" xfId="0" applyAlignment="1">
      <x:alignment wrapText="1"/>
    </x:xf>
    <x:xf numFmtId="0" fontId="5" fillId="0" borderId="0" xfId="0" applyAlignment="1">
      <x:alignment wrapText="1"/>
    </x:xf>
    <x:xf numFmtId="0" fontId="6" fillId="5" borderId="0" xfId="0"/>
    <x:xf numFmtId="0" fontId="7" fillId="6" borderId="0" xfId="0"/>
    <x:xf numFmtId="0" fontId="8" fillId="7" borderId="1" xfId="0" applyAlignment="1">
      <x:alignment horizontal="center" vertical="center" wrapText="1"/>
    </x:xf>
    <x:xf numFmtId="0" fontId="3" fillId="0" borderId="0" xfId="0"/>
    <x:xf numFmtId="0" fontId="9" fillId="0" borderId="0" xfId="0"/>
    <x:xf numFmtId="0" fontId="5" fillId="0" borderId="0" xfId="0"/>
    <x:xf numFmtId="0" fontId="6" fillId="5" borderId="2" xfId="0" applyAlignment="1">
      <x:alignment horizontal="center" vertical="center" wrapText="1"/>
    </x:xf>
    <x:xf numFmtId="164" fontId="9" fillId="0" borderId="2" xfId="0" applyAlignment="1">
      <x:alignment horizontal="center" vertical="center" wrapText="1"/>
    </x:xf>
    <x:xf numFmtId="165" fontId="7" fillId="6" borderId="2" xfId="0" applyAlignment="1">
      <x:alignment horizontal="center" vertical="center" wrapText="1"/>
    </x:xf>
    <x:xf numFmtId="0" fontId="7" fillId="6" borderId="2" xfId="0" applyAlignment="1">
      <x:alignment horizontal="center" vertical="center" wrapText="1"/>
    </x:xf>
    <x:xf numFmtId="165" fontId="9" fillId="0" borderId="2" xfId="0" applyAlignment="1">
      <x:alignment horizontal="center" vertical="center" wrapText="1"/>
    </x:xf>
    <x:xf numFmtId="166" fontId="9" fillId="0" borderId="2" xfId="0" applyAlignment="1">
      <x:alignment horizontal="center" vertical="center" wrapText="1"/>
    </x:xf>
    <x:xf numFmtId="0" fontId="9" fillId="0" borderId="2" xfId="0" applyAlignment="1">
      <x:alignment horizontal="center" vertical="center" wrapText="1"/>
    </x:xf>
    <x:xf numFmtId="0" fontId="6" fillId="5" borderId="2" xfId="0" applyAlignment="1">
      <x:alignment vertical="center" wrapText="1"/>
    </x:xf>
    <x:xf numFmtId="165" fontId="9" fillId="0" borderId="2" xfId="0" applyAlignment="1">
      <x:alignment vertical="center" wrapText="1"/>
    </x:xf>
    <x:xf numFmtId="0" fontId="0" fillId="0" borderId="0" xfId="0" applyAlignment="1">
      <x:alignment vertical="center" wrapText="1"/>
    </x:xf>
    <x:xf numFmtId="164" fontId="9" fillId="0" borderId="2" xfId="0" applyAlignment="1">
      <x:alignment horizontal="center" vertical="center" wrapText="1"/>
    </x:xf>
    <x:xf numFmtId="165" fontId="7" fillId="6" borderId="2" xfId="0" applyAlignment="1">
      <x:alignment horizontal="center" vertical="center" wrapText="1"/>
    </x:xf>
    <x:xf numFmtId="165" fontId="9" fillId="0" borderId="2" xfId="0" applyAlignment="1">
      <x:alignment horizontal="center" vertical="center" wrapText="1"/>
    </x:xf>
    <x:xf numFmtId="166" fontId="9" fillId="0" borderId="2" xfId="0" applyAlignment="1">
      <x:alignment horizontal="center" vertical="center" wrapText="1"/>
    </x:xf>
    <x:xf numFmtId="165" fontId="9" fillId="0" borderId="2" xfId="0" applyAlignment="1">
      <x:alignment vertical="center" wrapText="1"/>
    </x:xf>
  </x:cellXfs>
  <x:cellStyles count="1">
    <x:cellStyle name="Normal" xfId="0"/>
  </x:cellStyles>
  <x:dxfs count="3">
    <x:dxf>
      <x:fill>
        <x:patternFill>
          <x:bgColor rgb="00FDE9E7"/>
        </x:patternFill>
      </x:fill>
    </x:dxf>
    <x:dxf>
      <x:fill>
        <x:patternFill>
          <x:bgColor rgb="00E2F0D9"/>
        </x:patternFill>
      </x:fill>
    </x:dxf>
    <x:dxf>
      <x:fill>
        <x:patternFill>
          <x:bgColor rgb="00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4eff58988744185" /><Relationship Type="http://schemas.openxmlformats.org/officeDocument/2006/relationships/theme" Target="/xl/theme/theme1.xml" Id="R6eba3ecc0dc74bbf" /><Relationship Type="http://schemas.openxmlformats.org/officeDocument/2006/relationships/sharedStrings" Target="/xl/sharedStrings.xml" Id="R1dff3b0a8e3e4183" /><Relationship Type="http://schemas.openxmlformats.org/officeDocument/2006/relationships/worksheet" Target="/xl/worksheets/sheet1.xml" Id="Rde80923b4d8d4b99" /><Relationship Type="http://schemas.openxmlformats.org/officeDocument/2006/relationships/worksheet" Target="/xl/worksheets/sheet2.xml" Id="Reec4f9ad917a4e92" /><Relationship Type="http://schemas.openxmlformats.org/officeDocument/2006/relationships/worksheet" Target="/xl/worksheets/sheet3.xml" Id="Rad386a7107cf4e0e" /><Relationship Type="http://schemas.openxmlformats.org/officeDocument/2006/relationships/worksheet" Target="/xl/worksheets/sheet4.xml" Id="Rde41a8f2afce4d2d" /><Relationship Type="http://schemas.microsoft.com/office/2017/10/relationships/person" Target="/xl/persons/person.xml" Id="Rf4a52cd4ff9b4e83" /></Relationships>
</file>

<file path=xl/persons/person.xml><?xml version="1.0" encoding="utf-8"?>
<xltc:personList xmlns:xltc="http://schemas.microsoft.com/office/spreadsheetml/2018/threadedcomments">
  <xltc:person displayName="OpenAI" id="{87346F0D-4CD1-7171-177B-BD2CF9C42E74}"/>
  <xltc:person displayName="OpenAI" id="{5424163B-9953-2560-419B-CE61202AC4E1}"/>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d400dbbae82a4df2" /><Relationship Type="http://schemas.openxmlformats.org/officeDocument/2006/relationships/vmlDrawing" Target="/xl/drawings/vmldrawing.vml" Id="Rc2f041079af54810" /></Relationships>
</file>

<file path=xl/worksheets/_rels/sheet3.xml.rels>&#65279;<?xml version="1.0" encoding="utf-8"?><Relationships xmlns="http://schemas.openxmlformats.org/package/2006/relationships"><Relationship Type="http://schemas.openxmlformats.org/officeDocument/2006/relationships/comments" Target="/xl/comments2.xml" Id="R4394e8fc0ea14506" /><Relationship Type="http://schemas.openxmlformats.org/officeDocument/2006/relationships/vmlDrawing" Target="/xl/drawings/vmldrawing2.vml" Id="R0418604588ad4a08" /></Relationships>
</file>

<file path=xl/worksheets/sheet1.xml><?xml version="1.0" encoding="utf-8"?>
<x:worksheet xmlns:x="http://schemas.openxmlformats.org/spreadsheetml/2006/main">
  <x:sheetPr>
    <x:tabColor rgb="000F766E"/>
  </x:sheetPr>
  <x:sheetViews>
    <x:sheetView showGridLines="0" workbookViewId="0"/>
  </x:sheetViews>
  <x:sheetFormatPr baseColWidth="8" defaultRowHeight="15"/>
  <x:cols>
    <x:col min="1" max="1" width="20" customWidth="1"/>
    <x:col min="2" max="2" width="18" customWidth="1"/>
    <x:col min="3" max="3" width="16" customWidth="1"/>
    <x:col min="4" max="4" width="16" customWidth="1"/>
    <x:col min="5" max="5" width="14" customWidth="1"/>
    <x:col min="6" max="6" width="14" customWidth="1"/>
    <x:col min="7" max="7" width="14" customWidth="1"/>
    <x:col min="8" max="8" width="14" customWidth="1"/>
  </x:cols>
  <x:sheetData>
    <x:row r="1" ht="20" customHeight="1">
      <x:c r="A1" s="1" t="inlineStr">
        <x:is>
          <x:t xml:space="preserve">OL Brew Freight Quote Template</x:t>
        </x:is>
      </x:c>
    </x:row>
    <x:row r="2" ht="20" customHeight="1"/>
    <x:row r="3" ht="20" customHeight="1">
      <x:c r="A3" s="2" t="inlineStr">
        <x:is>
          <x:t xml:space="preserve">Purpose</x:t>
        </x:is>
      </x:c>
    </x:row>
    <x:row r="4" ht="20" customHeight="1">
      <x:c r="A4" s="3" t="inlineStr">
        <x:is>
          <x:t xml:space="preserve">Use this workbook to request apples-to-apples freight quotes and automatically calculate cost per pallet and cost per case.</x:t>
        </x:is>
      </x:c>
    </x:row>
    <x:row r="5" ht="20" customHeight="1"/>
    <x:row r="6" ht="20" customHeight="1">
      <x:c r="A6" s="2" t="inlineStr">
        <x:is>
          <x:t xml:space="preserve">How to Use</x:t>
        </x:is>
      </x:c>
    </x:row>
    <x:row r="7" ht="20" customHeight="1">
      <x:c r="A7" s="3" t="inlineStr">
        <x:is>
          <x:t xml:space="preserve">1. Update the yellow assumption cells on the Assumptions sheet before requesting quotes.</x:t>
        </x:is>
      </x:c>
    </x:row>
    <x:row r="8" ht="20" customHeight="1">
      <x:c r="A8" s="3" t="inlineStr">
        <x:is>
          <x:t xml:space="preserve">2. Ask for quotes for every prebuilt route on the Quote Entry sheet: 1 pallet, 5 pallets, 10 pallets, and full truckload from each origin.</x:t>
        </x:is>
      </x:c>
    </x:row>
    <x:row r="9" ht="20" customHeight="1">
      <x:c r="A9" s="3" t="inlineStr">
        <x:is>
          <x:t xml:space="preserve">3. Enter the all-in quoted freight amount, carrier, quote date, transit days, and any notes in the yellow cells on Quote Entry.</x:t>
        </x:is>
      </x:c>
    </x:row>
    <x:row r="10" ht="20" customHeight="1">
      <x:c r="A10" s="3" t="inlineStr">
        <x:is>
          <x:t xml:space="preserve">4. Cost per pallet and cost per case calculate automatically once the quote amount is entered.</x:t>
        </x:is>
      </x:c>
    </x:row>
    <x:row r="11" ht="20" customHeight="1">
      <x:c r="A11" s="3" t="inlineStr">
        <x:is>
          <x:t xml:space="preserve">5. Review the Summary sheet for a clean comparison across routes and shipment sizes.</x:t>
        </x:is>
      </x:c>
    </x:row>
    <x:row r="12" ht="20" customHeight="1"/>
    <x:row r="13" ht="20" customHeight="1"/>
    <x:row r="14" ht="20" customHeight="1">
      <x:c r="A14" s="2" t="inlineStr">
        <x:is>
          <x:t xml:space="preserve">Quote Request Checklist (send the same specs to each carrier/broker)</x:t>
        </x:is>
      </x:c>
    </x:row>
    <x:row r="15" ht="20" customHeight="1">
      <x:c r="A15" s="4" t="inlineStr">
        <x:is>
          <x:t xml:space="preserve">Product</x:t>
        </x:is>
      </x:c>
      <x:c r="B15" s="3" t="inlineStr">
        <x:is>
          <x:t xml:space="preserve">OL Brew canned product</x:t>
        </x:is>
      </x:c>
    </x:row>
    <x:row r="16" ht="20" customHeight="1">
      <x:c r="A16" s="4" t="inlineStr">
        <x:is>
          <x:t xml:space="preserve">Origins</x:t>
        </x:is>
      </x:c>
      <x:c r="B16" s="3" t="inlineStr">
        <x:is>
          <x:t xml:space="preserve">Des Moines, IA and TN canning site</x:t>
        </x:is>
      </x:c>
    </x:row>
    <x:row r="17" ht="20" customHeight="1">
      <x:c r="A17" s="4" t="inlineStr">
        <x:is>
          <x:t xml:space="preserve">Destinations</x:t>
        </x:is>
      </x:c>
      <x:c r="B17" s="3" t="inlineStr">
        <x:is>
          <x:t xml:space="preserve">Salt Lake City, UT; Los Angeles, CA; New York, NY; Boston, MA; Dallas, TX; Seattle, WA</x:t>
        </x:is>
      </x:c>
    </x:row>
    <x:row r="18" ht="20" customHeight="1">
      <x:c r="A18" s="4" t="inlineStr">
        <x:is>
          <x:t xml:space="preserve">Shipment sizes</x:t>
        </x:is>
      </x:c>
      <x:c r="B18" s="3" t="inlineStr">
        <x:is>
          <x:t xml:space="preserve">1 pallet, 5 pallets, 10 pallets, and full truckload</x:t>
        </x:is>
      </x:c>
    </x:row>
    <x:row r="19" ht="20" customHeight="1">
      <x:c r="A19" s="4" t="inlineStr">
        <x:is>
          <x:t xml:space="preserve">Pallet dimensions</x:t>
        </x:is>
      </x:c>
      <x:c r="B19" s="3" t="inlineStr">
        <x:is>
          <x:t xml:space="preserve">Enter on Assumptions sheet before requesting quotes</x:t>
        </x:is>
      </x:c>
    </x:row>
    <x:row r="20" ht="20" customHeight="1">
      <x:c r="A20" s="4" t="inlineStr">
        <x:is>
          <x:t xml:space="preserve">Cases per pallet</x:t>
        </x:is>
      </x:c>
      <x:c r="B20" s="3" t="inlineStr">
        <x:is>
          <x:t xml:space="preserve">Enter on Assumptions sheet before requesting quotes</x:t>
        </x:is>
      </x:c>
    </x:row>
    <x:row r="21" ht="20" customHeight="1">
      <x:c r="A21" s="4" t="inlineStr">
        <x:is>
          <x:t xml:space="preserve">Weight per pallet</x:t>
        </x:is>
      </x:c>
      <x:c r="B21" s="3" t="inlineStr">
        <x:is>
          <x:t xml:space="preserve">Enter on Assumptions sheet before requesting quotes</x:t>
        </x:is>
      </x:c>
    </x:row>
    <x:row r="22" ht="20" customHeight="1">
      <x:c r="A22" s="4" t="inlineStr">
        <x:is>
          <x:t xml:space="preserve">Freight class / NMFC</x:t>
        </x:is>
      </x:c>
      <x:c r="B22" s="3" t="inlineStr">
        <x:is>
          <x:t xml:space="preserve">Enter on Assumptions sheet if applicable</x:t>
        </x:is>
      </x:c>
    </x:row>
    <x:row r="23" ht="20" customHeight="1">
      <x:c r="A23" s="4" t="inlineStr">
        <x:is>
          <x:t xml:space="preserve">Accessorials</x:t>
        </x:is>
      </x:c>
      <x:c r="B23" s="3" t="inlineStr">
        <x:is>
          <x:t xml:space="preserve">Liftgate, appointment, residential, limited access, inside delivery, etc.</x:t>
        </x:is>
      </x:c>
    </x:row>
    <x:row r="24" ht="20" customHeight="1">
      <x:c r="A24" s="4" t="inlineStr">
        <x:is>
          <x:t xml:space="preserve">Fuel</x:t>
        </x:is>
      </x:c>
      <x:c r="B24" s="3" t="inlineStr">
        <x:is>
          <x:t xml:space="preserve">Ask if fuel surcharge is included in the quote</x:t>
        </x:is>
      </x:c>
    </x:row>
    <x:row r="25" ht="20" customHeight="1">
      <x:c r="A25" s="4" t="inlineStr">
        <x:is>
          <x:t xml:space="preserve">Validity</x:t>
        </x:is>
      </x:c>
      <x:c r="B25" s="3" t="inlineStr">
        <x:is>
          <x:t xml:space="preserve">Ask how long the quote is valid</x:t>
        </x:is>
      </x:c>
    </x:row>
    <x:row r="26" ht="20" customHeight="1"/>
    <x:row r="27" ht="20" customHeight="1"/>
    <x:row r="28" ht="20" customHeight="1">
      <x:c r="A28" s="2" t="inlineStr">
        <x:is>
          <x:t xml:space="preserve">Important Notes</x:t>
        </x:is>
      </x:c>
    </x:row>
    <x:row r="29" ht="20" customHeight="1">
      <x:c r="A29" s="5" t="inlineStr">
        <x:is>
          <x:t xml:space="preserve">Yellow cells are intended for user input or review.</x:t>
        </x:is>
      </x:c>
    </x:row>
    <x:row r="30" ht="20" customHeight="1">
      <x:c r="A30" s="6" t="inlineStr">
        <x:is>
          <x:t xml:space="preserve">Full truckload cost per pallet and cost per case use the pallets-per-full-truckload assumption, so update that input if the trailer fits a different pallet count.</x:t>
        </x:is>
      </x:c>
    </x:row>
    <x:row r="31" ht="20" customHeight="1">
      <x:c r="A31" s="5" t="inlineStr">
        <x:is>
          <x:t xml:space="preserve">If a carrier quotes a minimum charge or includes special fees, capture that in Accessorials / Notes.</x:t>
        </x:is>
      </x:c>
    </x:row>
    <x:row r="32" ht="20" customHeight="1"/>
    <x:row r="33" ht="20" customHeight="1"/>
    <x:row r="34" ht="20" customHeight="1"/>
  </x:sheetData>
  <x:mergeCells>
    <x:mergeCell ref="A9:H9"/>
    <x:mergeCell ref="A30:H30"/>
    <x:mergeCell ref="B24:H24"/>
    <x:mergeCell ref="A11:H11"/>
    <x:mergeCell ref="B15:H15"/>
    <x:mergeCell ref="A1:H1"/>
    <x:mergeCell ref="B20:H20"/>
    <x:mergeCell ref="A6:H6"/>
    <x:mergeCell ref="A7:H7"/>
    <x:mergeCell ref="B16:H16"/>
    <x:mergeCell ref="B25:H25"/>
    <x:mergeCell ref="B22:H22"/>
    <x:mergeCell ref="A3:H3"/>
    <x:mergeCell ref="B18:H18"/>
    <x:mergeCell ref="B21:H21"/>
    <x:mergeCell ref="A14:H14"/>
    <x:mergeCell ref="A8:H8"/>
    <x:mergeCell ref="B23:H23"/>
    <x:mergeCell ref="A4:H4"/>
    <x:mergeCell ref="B17:H17"/>
    <x:mergeCell ref="A29:H29"/>
    <x:mergeCell ref="A10:H10"/>
    <x:mergeCell ref="A28:H28"/>
    <x:mergeCell ref="B19:H19"/>
    <x:mergeCell ref="A31:H31"/>
  </x:mergeCells>
  <x:pageMargins left="0.7" right="0.7" top="0.75" bottom="0.75" header="0.3" footer="0.3"/>
</x:worksheet>
</file>

<file path=xl/worksheets/sheet2.xml><?xml version="1.0" encoding="utf-8"?>
<x:worksheet xmlns:x="http://schemas.openxmlformats.org/spreadsheetml/2006/main">
  <x:sheetPr>
    <x:tabColor rgb="000F766E"/>
  </x:sheetPr>
  <x:sheetViews>
    <x:sheetView showGridLines="0" workbookViewId="0"/>
  </x:sheetViews>
  <x:sheetFormatPr baseColWidth="8" defaultRowHeight="15"/>
  <x:cols>
    <x:col min="1" max="1" width="30" customWidth="1"/>
    <x:col min="2" max="2" width="20" customWidth="1"/>
    <x:col min="3" max="3" width="42" customWidth="1"/>
    <x:col min="4" max="4" width="12" customWidth="1"/>
    <x:col min="5" max="5" width="12" customWidth="1"/>
    <x:col min="6" max="6" width="12" customWidth="1"/>
  </x:cols>
  <x:sheetData>
    <x:row r="1" ht="20" customHeight="1">
      <x:c r="A1" s="1" t="inlineStr">
        <x:is>
          <x:t xml:space="preserve">Assumptions and Quote Inputs</x:t>
        </x:is>
      </x:c>
    </x:row>
    <x:row r="2" ht="20" customHeight="1"/>
    <x:row r="3" ht="20" customHeight="1">
      <x:c r="A3" s="2" t="inlineStr">
        <x:is>
          <x:t xml:space="preserve">Core Inputs (update yellow cells)</x:t>
        </x:is>
      </x:c>
    </x:row>
    <x:row r="4" ht="28" customHeight="1">
      <x:c r="A4" s="4" t="inlineStr">
        <x:is>
          <x:t xml:space="preserve">Product</x:t>
        </x:is>
      </x:c>
      <x:c r="B4" s="7" t="inlineStr">
        <x:is>
          <x:t xml:space="preserve">OL Brew</x:t>
        </x:is>
      </x:c>
      <x:c r="C4" s="22" t="inlineStr">
        <x:is>
          <x:t xml:space="preserve">Reference only</x:t>
        </x:is>
      </x:c>
    </x:row>
    <x:row r="5" ht="28" customHeight="1">
      <x:c r="A5" s="4" t="inlineStr">
        <x:is>
          <x:t xml:space="preserve">Cases per pallet</x:t>
        </x:is>
      </x:c>
      <x:c r="B5" s="8" t="inlineStr">
        <x:is>
          <x:t xml:space="preserve"/>
        </x:is>
      </x:c>
      <x:c r="C5" s="22" t="inlineStr">
        <x:is>
          <x:t xml:space="preserve">Required for cost per case calculations</x:t>
        </x:is>
      </x:c>
    </x:row>
    <x:row r="6" ht="28" customHeight="1">
      <x:c r="A6" s="4" t="inlineStr">
        <x:is>
          <x:t xml:space="preserve">Weight per pallet (lbs)</x:t>
        </x:is>
      </x:c>
      <x:c r="B6" s="8" t="inlineStr">
        <x:is>
          <x:t xml:space="preserve"/>
        </x:is>
      </x:c>
      <x:c r="C6" s="22" t="inlineStr">
        <x:is>
          <x:t xml:space="preserve">Required for total weight and cost per lb</x:t>
        </x:is>
      </x:c>
    </x:row>
    <x:row r="7" ht="28" customHeight="1">
      <x:c r="A7" s="4" t="inlineStr">
        <x:is>
          <x:t xml:space="preserve">Pallets per full truckload</x:t>
        </x:is>
      </x:c>
      <x:c r="B7" s="8" t="n">
        <x:v>26</x:v>
      </x:c>
      <x:c r="C7" s="22" t="inlineStr">
        <x:is>
          <x:t xml:space="preserve">Update if trailer fit differs from 26 pallets</x:t>
        </x:is>
      </x:c>
    </x:row>
    <x:row r="8" ht="28" customHeight="1">
      <x:c r="A8" s="4" t="inlineStr">
        <x:is>
          <x:t xml:space="preserve">Pallet dimensions (L x W x H in.)</x:t>
        </x:is>
      </x:c>
      <x:c r="B8" s="8" t="inlineStr">
        <x:is>
          <x:t xml:space="preserve"/>
        </x:is>
      </x:c>
      <x:c r="C8" s="22" t="inlineStr">
        <x:is>
          <x:t xml:space="preserve">Example: 48 x 40 x 72</x:t>
        </x:is>
      </x:c>
    </x:row>
    <x:row r="9" ht="28" customHeight="1">
      <x:c r="A9" s="4" t="inlineStr">
        <x:is>
          <x:t xml:space="preserve">Freight class / NMFC</x:t>
        </x:is>
      </x:c>
      <x:c r="B9" s="8" t="inlineStr">
        <x:is>
          <x:t xml:space="preserve"/>
        </x:is>
      </x:c>
      <x:c r="C9" s="22" t="inlineStr">
        <x:is>
          <x:t xml:space="preserve">Enter if needed for LTL quotes</x:t>
        </x:is>
      </x:c>
    </x:row>
    <x:row r="10" ht="28" customHeight="1">
      <x:c r="A10" s="4" t="inlineStr">
        <x:is>
          <x:t xml:space="preserve">Temperature control needed?</x:t>
        </x:is>
      </x:c>
      <x:c r="B10" s="8" t="inlineStr">
        <x:is>
          <x:t xml:space="preserve"/>
        </x:is>
      </x:c>
      <x:c r="C10" s="22" t="inlineStr">
        <x:is>
          <x:t xml:space="preserve">Enter Yes or No</x:t>
        </x:is>
      </x:c>
    </x:row>
    <x:row r="11" ht="28" customHeight="1">
      <x:c r="A11" s="4" t="inlineStr">
        <x:is>
          <x:t xml:space="preserve">Liftgate needed?</x:t>
        </x:is>
      </x:c>
      <x:c r="B11" s="8" t="inlineStr">
        <x:is>
          <x:t xml:space="preserve"/>
        </x:is>
      </x:c>
      <x:c r="C11" s="22" t="inlineStr">
        <x:is>
          <x:t xml:space="preserve">Enter Yes or No</x:t>
        </x:is>
      </x:c>
    </x:row>
    <x:row r="12" ht="28" customHeight="1">
      <x:c r="A12" s="4" t="inlineStr">
        <x:is>
          <x:t xml:space="preserve">Appointment delivery required?</x:t>
        </x:is>
      </x:c>
      <x:c r="B12" s="8" t="inlineStr">
        <x:is>
          <x:t xml:space="preserve"/>
        </x:is>
      </x:c>
      <x:c r="C12" s="22" t="inlineStr">
        <x:is>
          <x:t xml:space="preserve">Enter Yes or No / depends on receiver</x:t>
        </x:is>
      </x:c>
    </x:row>
    <x:row r="13" ht="28" customHeight="1">
      <x:c r="A13" s="4" t="inlineStr">
        <x:is>
          <x:t xml:space="preserve">Quote should include fuel surcharge?</x:t>
        </x:is>
      </x:c>
      <x:c r="B13" s="8" t="inlineStr">
        <x:is>
          <x:t xml:space="preserve">Yes</x:t>
        </x:is>
      </x:c>
      <x:c r="C13" s="22" t="inlineStr">
        <x:is>
          <x:t xml:space="preserve">Recommended for apples-to-apples comparison</x:t>
        </x:is>
      </x:c>
    </x:row>
    <x:row r="14" ht="20" customHeight="1"/>
    <x:row r="15" ht="20" customHeight="1"/>
    <x:row r="16" ht="20" customHeight="1"/>
    <x:row r="17" ht="20" customHeight="1">
      <x:c r="A17" s="2" t="inlineStr">
        <x:is>
          <x:t xml:space="preserve">Origin / Destination Reference</x:t>
        </x:is>
      </x:c>
    </x:row>
    <x:row r="18" ht="20" customHeight="1">
      <x:c r="A18" s="9" t="inlineStr">
        <x:is>
          <x:t xml:space="preserve">Type</x:t>
        </x:is>
      </x:c>
      <x:c r="B18" s="9" t="inlineStr">
        <x:is>
          <x:t xml:space="preserve">Location</x:t>
        </x:is>
      </x:c>
      <x:c r="C18" s="9" t="inlineStr">
        <x:is>
          <x:t xml:space="preserve">Notes</x:t>
        </x:is>
      </x:c>
      <x:c r="D18" s="9" t="inlineStr">
        <x:is>
          <x:t xml:space="preserve"/>
        </x:is>
      </x:c>
      <x:c r="E18" s="9" t="inlineStr">
        <x:is>
          <x:t xml:space="preserve"/>
        </x:is>
      </x:c>
      <x:c r="F18" s="9" t="inlineStr">
        <x:is>
          <x:t xml:space="preserve"/>
        </x:is>
      </x:c>
    </x:row>
    <x:row r="19" ht="20" customHeight="1">
      <x:c r="A19" t="inlineStr">
        <x:is>
          <x:t xml:space="preserve">Origin</x:t>
        </x:is>
      </x:c>
      <x:c r="B19" t="inlineStr">
        <x:is>
          <x:t xml:space="preserve">Des Moines, IA</x:t>
        </x:is>
      </x:c>
      <x:c r="C19" s="3" t="inlineStr">
        <x:is>
          <x:t xml:space="preserve">Built into Quote Entry sheet</x:t>
        </x:is>
      </x:c>
    </x:row>
    <x:row r="20" ht="20" customHeight="1">
      <x:c r="A20" t="inlineStr">
        <x:is>
          <x:t xml:space="preserve">Origin</x:t>
        </x:is>
      </x:c>
      <x:c r="B20" t="inlineStr">
        <x:is>
          <x:t xml:space="preserve">TN Canning Site</x:t>
        </x:is>
      </x:c>
      <x:c r="C20" s="3" t="inlineStr">
        <x:is>
          <x:t xml:space="preserve">Replace note field with exact city when known</x:t>
        </x:is>
      </x:c>
    </x:row>
    <x:row r="21" ht="20" customHeight="1">
      <x:c r="A21" t="inlineStr">
        <x:is>
          <x:t xml:space="preserve">Destination</x:t>
        </x:is>
      </x:c>
      <x:c r="B21" t="inlineStr">
        <x:is>
          <x:t xml:space="preserve">Salt Lake City, UT</x:t>
        </x:is>
      </x:c>
      <x:c r="C21" s="3" t="inlineStr">
        <x:is>
          <x:t xml:space="preserve">Prebuilt</x:t>
        </x:is>
      </x:c>
    </x:row>
    <x:row r="22" ht="20" customHeight="1">
      <x:c r="A22" t="inlineStr">
        <x:is>
          <x:t xml:space="preserve">Destination</x:t>
        </x:is>
      </x:c>
      <x:c r="B22" t="inlineStr">
        <x:is>
          <x:t xml:space="preserve">Los Angeles, CA</x:t>
        </x:is>
      </x:c>
      <x:c r="C22" s="3" t="inlineStr">
        <x:is>
          <x:t xml:space="preserve">Prebuilt</x:t>
        </x:is>
      </x:c>
    </x:row>
    <x:row r="23" ht="20" customHeight="1">
      <x:c r="A23" t="inlineStr">
        <x:is>
          <x:t xml:space="preserve">Destination</x:t>
        </x:is>
      </x:c>
      <x:c r="B23" t="inlineStr">
        <x:is>
          <x:t xml:space="preserve">New York, NY</x:t>
        </x:is>
      </x:c>
      <x:c r="C23" s="3" t="inlineStr">
        <x:is>
          <x:t xml:space="preserve">Prebuilt</x:t>
        </x:is>
      </x:c>
    </x:row>
    <x:row r="24" ht="20" customHeight="1">
      <x:c r="A24" t="inlineStr">
        <x:is>
          <x:t xml:space="preserve">Destination</x:t>
        </x:is>
      </x:c>
      <x:c r="B24" t="inlineStr">
        <x:is>
          <x:t xml:space="preserve">Boston, MA</x:t>
        </x:is>
      </x:c>
      <x:c r="C24" s="3" t="inlineStr">
        <x:is>
          <x:t xml:space="preserve">Prebuilt</x:t>
        </x:is>
      </x:c>
    </x:row>
    <x:row r="25" ht="20" customHeight="1">
      <x:c r="A25" t="inlineStr">
        <x:is>
          <x:t xml:space="preserve">Destination</x:t>
        </x:is>
      </x:c>
      <x:c r="B25" t="inlineStr">
        <x:is>
          <x:t xml:space="preserve">Dallas, TX</x:t>
        </x:is>
      </x:c>
      <x:c r="C25" s="3" t="inlineStr">
        <x:is>
          <x:t xml:space="preserve">Prebuilt</x:t>
        </x:is>
      </x:c>
    </x:row>
    <x:row r="26" ht="20" customHeight="1">
      <x:c r="A26" t="inlineStr">
        <x:is>
          <x:t xml:space="preserve">Destination</x:t>
        </x:is>
      </x:c>
      <x:c r="B26" t="inlineStr">
        <x:is>
          <x:t xml:space="preserve">Seattle, WA</x:t>
        </x:is>
      </x:c>
      <x:c r="C26" s="3" t="inlineStr">
        <x:is>
          <x:t xml:space="preserve">Prebuilt</x:t>
        </x:is>
      </x:c>
    </x:row>
    <x:row r="27" ht="20" customHeight="1"/>
    <x:row r="28" ht="20" customHeight="1"/>
    <x:row r="29" ht="20" customHeight="1">
      <x:c r="A29" s="2" t="inlineStr">
        <x:is>
          <x:t xml:space="preserve">Pre-Quote Readiness Check</x:t>
        </x:is>
      </x:c>
    </x:row>
    <x:row r="30" ht="20" customHeight="1">
      <x:c r="A30" s="10" t="inlineStr">
        <x:is>
          <x:t xml:space="preserve">Cases per pallet entered?</x:t>
        </x:is>
      </x:c>
      <x:c r="B30" s="11" t="str">
        <x:f>IF(B5&lt;&gt;"","Ready","Missing")</x:f>
        <x:v>Missing</x:v>
      </x:c>
    </x:row>
    <x:row r="31" ht="20" customHeight="1">
      <x:c r="A31" s="10" t="inlineStr">
        <x:is>
          <x:t xml:space="preserve">Weight per pallet entered?</x:t>
        </x:is>
      </x:c>
      <x:c r="B31" s="11" t="str">
        <x:f>IF(B6&lt;&gt;"","Ready","Missing")</x:f>
        <x:v>Missing</x:v>
      </x:c>
    </x:row>
    <x:row r="32" ht="20" customHeight="1">
      <x:c r="A32" s="10" t="inlineStr">
        <x:is>
          <x:t xml:space="preserve">Pallet dimensions entered?</x:t>
        </x:is>
      </x:c>
      <x:c r="B32" s="11" t="str">
        <x:f>IF(B8&lt;&gt;"","Ready","Missing")</x:f>
        <x:v>Missing</x:v>
      </x:c>
    </x:row>
    <x:row r="33" ht="20" customHeight="1">
      <x:c r="A33" s="10" t="inlineStr">
        <x:is>
          <x:t xml:space="preserve">Freight class / NMFC reviewed?</x:t>
        </x:is>
      </x:c>
      <x:c r="B33" s="11" t="str">
        <x:f>IF(B9&lt;&gt;"","Ready","Review")</x:f>
        <x:v>Review</x:v>
      </x:c>
    </x:row>
    <x:row r="34" ht="20" customHeight="1"/>
    <x:row r="35" ht="20" customHeight="1"/>
  </x:sheetData>
  <x:mergeCells>
    <x:mergeCell ref="C23:F23"/>
    <x:mergeCell ref="C8:F8"/>
    <x:mergeCell ref="C7:F7"/>
    <x:mergeCell ref="A3:F3"/>
    <x:mergeCell ref="C19:F19"/>
    <x:mergeCell ref="C13:F13"/>
    <x:mergeCell ref="C6:F6"/>
    <x:mergeCell ref="A17:F17"/>
    <x:mergeCell ref="C24:F24"/>
    <x:mergeCell ref="C5:F5"/>
    <x:mergeCell ref="A29:F29"/>
    <x:mergeCell ref="C4:F4"/>
    <x:mergeCell ref="C26:F26"/>
    <x:mergeCell ref="C20:F20"/>
    <x:mergeCell ref="C25:F25"/>
    <x:mergeCell ref="C10:F10"/>
    <x:mergeCell ref="C22:F22"/>
    <x:mergeCell ref="C9:F9"/>
    <x:mergeCell ref="A1:F1"/>
    <x:mergeCell ref="C12:F12"/>
    <x:mergeCell ref="C21:F21"/>
    <x:mergeCell ref="C11:F11"/>
  </x:mergeCells>
  <x:conditionalFormatting sqref="B5:B5">
    <x:cfRule type="expression" dxfId="0" priority="1">
      <x:formula>LEN(B5)=0</x:formula>
    </x:cfRule>
  </x:conditionalFormatting>
  <x:conditionalFormatting sqref="B6:B6">
    <x:cfRule type="expression" dxfId="0" priority="2">
      <x:formula>LEN(B6)=0</x:formula>
    </x:cfRule>
  </x:conditionalFormatting>
  <x:conditionalFormatting sqref="B8:B8">
    <x:cfRule type="expression" dxfId="0" priority="3">
      <x:formula>LEN(B8)=0</x:formula>
    </x:cfRule>
  </x:conditionalFormatting>
  <x:dataValidations count="1">
    <x:dataValidation type="list" allowBlank="1" showDropDown="0" showInputMessage="0" showErrorMessage="0" sqref="B10 B11 B12">
      <x:formula1>"Yes,No"</x:formula1>
    </x:dataValidation>
  </x:dataValidations>
  <x:pageMargins left="0.7" right="0.7" top="0.75" bottom="0.75" header="0.3" footer="0.3"/>
  <x:legacyDrawing xmlns:r="http://schemas.openxmlformats.org/officeDocument/2006/relationships" r:id="Rc2f041079af54810"/>
</x:worksheet>
</file>

<file path=xl/worksheets/sheet3.xml><?xml version="1.0" encoding="utf-8"?>
<x:worksheet xmlns:x="http://schemas.openxmlformats.org/spreadsheetml/2006/main">
  <x:sheetPr>
    <x:tabColor rgb="000F766E"/>
  </x:sheetPr>
  <x:sheetViews>
    <x:sheetView showGridLines="0" workbookViewId="0"/>
  </x:sheetViews>
  <x:sheetFormatPr baseColWidth="8" defaultRowHeight="15"/>
  <x:cols>
    <x:col min="1" max="1" width="10" customWidth="1"/>
    <x:col min="2" max="2" width="18" customWidth="1"/>
    <x:col min="3" max="3" width="18" customWidth="1"/>
    <x:col min="4" max="4" width="15" customWidth="1"/>
    <x:col min="5" max="5" width="9" customWidth="1"/>
    <x:col min="6" max="6" width="12" customWidth="1"/>
    <x:col min="7" max="7" width="12" customWidth="1"/>
    <x:col min="8" max="8" width="12" customWidth="1"/>
    <x:col min="9" max="9" width="15" customWidth="1"/>
    <x:col min="10" max="10" width="14" customWidth="1"/>
    <x:col min="11" max="11" width="18" customWidth="1"/>
    <x:col min="12" max="12" width="12" customWidth="1"/>
    <x:col min="13" max="13" width="11" customWidth="1"/>
    <x:col min="14" max="14" width="12" customWidth="1"/>
    <x:col min="15" max="15" width="24" customWidth="1"/>
    <x:col min="16" max="16" width="14" customWidth="1"/>
    <x:col min="17" max="17" width="14" customWidth="1"/>
    <x:col min="18" max="18" width="12" customWidth="1"/>
    <x:col min="19" max="19" width="11" customWidth="1"/>
  </x:cols>
  <x:sheetData>
    <x:row r="1" ht="22" customHeight="1">
      <x:c r="A1" s="1" t="inlineStr">
        <x:is>
          <x:t xml:space="preserve">Freight Quote Entry</x:t>
        </x:is>
      </x:c>
    </x:row>
    <x:row r="2" ht="22" customHeight="1">
      <x:c r="A2" s="12" t="inlineStr">
        <x:is>
          <x:t xml:space="preserve">Enter quoted freight totals in yellow cells. Formula columns calculate automatically.</x:t>
        </x:is>
      </x:c>
    </x:row>
    <x:row r="3" ht="22" customHeight="1">
      <x:c r="A3" s="9" t="inlineStr">
        <x:is>
          <x:t xml:space="preserve">Route ID</x:t>
        </x:is>
      </x:c>
      <x:c r="B3" s="9" t="inlineStr">
        <x:is>
          <x:t xml:space="preserve">Origin</x:t>
        </x:is>
      </x:c>
      <x:c r="C3" s="9" t="inlineStr">
        <x:is>
          <x:t xml:space="preserve">Destination</x:t>
        </x:is>
      </x:c>
      <x:c r="D3" s="9" t="inlineStr">
        <x:is>
          <x:t xml:space="preserve">Shipment Type</x:t>
        </x:is>
      </x:c>
      <x:c r="E3" s="9" t="inlineStr">
        <x:is>
          <x:t xml:space="preserve">Pallets</x:t>
        </x:is>
      </x:c>
      <x:c r="F3" s="9" t="inlineStr">
        <x:is>
          <x:t xml:space="preserve">Cases / Pallet</x:t>
        </x:is>
      </x:c>
      <x:c r="G3" s="9" t="inlineStr">
        <x:is>
          <x:t xml:space="preserve">Total Cases</x:t>
        </x:is>
      </x:c>
      <x:c r="H3" s="9" t="inlineStr">
        <x:is>
          <x:t xml:space="preserve">Lbs / Pallet</x:t>
        </x:is>
      </x:c>
      <x:c r="I3" s="9" t="inlineStr">
        <x:is>
          <x:t xml:space="preserve">Total Weight (lbs)</x:t>
        </x:is>
      </x:c>
      <x:c r="J3" s="9" t="inlineStr">
        <x:is>
          <x:t xml:space="preserve">Quote Total ($)</x:t>
        </x:is>
      </x:c>
      <x:c r="K3" s="9" t="inlineStr">
        <x:is>
          <x:t xml:space="preserve">Carrier / Broker</x:t>
        </x:is>
      </x:c>
      <x:c r="L3" s="9" t="inlineStr">
        <x:is>
          <x:t xml:space="preserve">Quote Date</x:t>
        </x:is>
      </x:c>
      <x:c r="M3" s="9" t="inlineStr">
        <x:is>
          <x:t xml:space="preserve">Transit Days</x:t>
        </x:is>
      </x:c>
      <x:c r="N3" s="9" t="inlineStr">
        <x:is>
          <x:t xml:space="preserve">Fuel Included?</x:t>
        </x:is>
      </x:c>
      <x:c r="O3" s="9" t="inlineStr">
        <x:is>
          <x:t xml:space="preserve">Accessorials / Notes</x:t>
        </x:is>
      </x:c>
      <x:c r="P3" s="9" t="inlineStr">
        <x:is>
          <x:t xml:space="preserve">Cost / Pallet ($)</x:t>
        </x:is>
      </x:c>
      <x:c r="Q3" s="9" t="inlineStr">
        <x:is>
          <x:t xml:space="preserve">Cost / Case ($)</x:t>
        </x:is>
      </x:c>
      <x:c r="R3" s="9" t="inlineStr">
        <x:is>
          <x:t xml:space="preserve">Cost / Lb ($)</x:t>
        </x:is>
      </x:c>
      <x:c r="S3" s="9" t="inlineStr">
        <x:is>
          <x:t xml:space="preserve">Status</x:t>
        </x:is>
      </x:c>
    </x:row>
    <x:row r="4" ht="22" customHeight="1">
      <x:c r="A4" s="13" t="inlineStr">
        <x:is>
          <x:t xml:space="preserve">R001</x:t>
        </x:is>
      </x:c>
      <x:c r="B4" s="13" t="inlineStr">
        <x:is>
          <x:t xml:space="preserve">Des Moines, IA</x:t>
        </x:is>
      </x:c>
      <x:c r="C4" s="13" t="inlineStr">
        <x:is>
          <x:t xml:space="preserve">Salt Lake City, UT</x:t>
        </x:is>
      </x:c>
      <x:c r="D4" s="13" t="inlineStr">
        <x:is>
          <x:t xml:space="preserve">1 Pallet</x:t>
        </x:is>
      </x:c>
      <x:c r="E4" s="23">
        <x:f>IF(D4="1 Pallet",1,IF(D4="5 Pallets",5,IF(D4="10 Pallets",10,IF(Assumptions!$B$7="","",Assumptions!$B$7))))</x:f>
        <x:v>1</x:v>
      </x:c>
      <x:c r="F4" s="23">
        <x:f>IF(Assumptions!$B$5="","",Assumptions!$B$5)</x:f>
      </x:c>
      <x:c r="G4" s="23">
        <x:f>IF(OR(E4="",F4=""),"",E4*F4)</x:f>
      </x:c>
      <x:c r="H4" s="23">
        <x:f>IF(Assumptions!$B$6="","",Assumptions!$B$6)</x:f>
      </x:c>
      <x:c r="I4" s="23">
        <x:f>IF(OR(E4="",H4=""),"",E4*H4)</x:f>
      </x:c>
      <x:c r="J4" s="24" t="n"/>
      <x:c r="K4" s="16" t="n"/>
      <x:c r="L4" s="16" t="n"/>
      <x:c r="M4" s="16" t="n"/>
      <x:c r="N4" s="16" t="n"/>
      <x:c r="O4" s="16" t="n"/>
      <x:c r="P4" s="25">
        <x:f>IF(OR(J4="",E4=""),"",J4/E4)</x:f>
      </x:c>
      <x:c r="Q4" s="25">
        <x:f>IF(OR(J4="",G4=""),"",J4/G4)</x:f>
      </x:c>
      <x:c r="R4" s="26">
        <x:f>IF(OR(J4="",I4=""),"",J4/I4)</x:f>
      </x:c>
      <x:c r="S4" s="19" t="str">
        <x:f>IF(COUNTA(J4:L4)=0,"Pending",IF(COUNTA(J4:L4)&lt;3,"Partial","Complete"))</x:f>
        <x:v>Pending</x:v>
      </x:c>
    </x:row>
    <x:row r="5" ht="22" customHeight="1">
      <x:c r="A5" s="13" t="inlineStr">
        <x:is>
          <x:t xml:space="preserve">R002</x:t>
        </x:is>
      </x:c>
      <x:c r="B5" s="13" t="inlineStr">
        <x:is>
          <x:t xml:space="preserve">Des Moines, IA</x:t>
        </x:is>
      </x:c>
      <x:c r="C5" s="13" t="inlineStr">
        <x:is>
          <x:t xml:space="preserve">Salt Lake City, UT</x:t>
        </x:is>
      </x:c>
      <x:c r="D5" s="13" t="inlineStr">
        <x:is>
          <x:t xml:space="preserve">5 Pallets</x:t>
        </x:is>
      </x:c>
      <x:c r="E5" s="23">
        <x:f>IF(D5="1 Pallet",1,IF(D5="5 Pallets",5,IF(D5="10 Pallets",10,IF(Assumptions!$B$7="","",Assumptions!$B$7))))</x:f>
        <x:v>5</x:v>
      </x:c>
      <x:c r="F5" s="23">
        <x:f>IF(Assumptions!$B$5="","",Assumptions!$B$5)</x:f>
      </x:c>
      <x:c r="G5" s="23">
        <x:f>IF(OR(E5="",F5=""),"",E5*F5)</x:f>
      </x:c>
      <x:c r="H5" s="23">
        <x:f>IF(Assumptions!$B$6="","",Assumptions!$B$6)</x:f>
      </x:c>
      <x:c r="I5" s="23">
        <x:f>IF(OR(E5="",H5=""),"",E5*H5)</x:f>
      </x:c>
      <x:c r="J5" s="24" t="n"/>
      <x:c r="K5" s="16" t="n"/>
      <x:c r="L5" s="16" t="n"/>
      <x:c r="M5" s="16" t="n"/>
      <x:c r="N5" s="16" t="n"/>
      <x:c r="O5" s="16" t="n"/>
      <x:c r="P5" s="25">
        <x:f>IF(OR(J5="",E5=""),"",J5/E5)</x:f>
      </x:c>
      <x:c r="Q5" s="25">
        <x:f>IF(OR(J5="",G5=""),"",J5/G5)</x:f>
      </x:c>
      <x:c r="R5" s="26">
        <x:f>IF(OR(J5="",I5=""),"",J5/I5)</x:f>
      </x:c>
      <x:c r="S5" s="19" t="str">
        <x:f>IF(COUNTA(J5:L5)=0,"Pending",IF(COUNTA(J5:L5)&lt;3,"Partial","Complete"))</x:f>
        <x:v>Pending</x:v>
      </x:c>
    </x:row>
    <x:row r="6" ht="22" customHeight="1">
      <x:c r="A6" s="13" t="inlineStr">
        <x:is>
          <x:t xml:space="preserve">R003</x:t>
        </x:is>
      </x:c>
      <x:c r="B6" s="13" t="inlineStr">
        <x:is>
          <x:t xml:space="preserve">Des Moines, IA</x:t>
        </x:is>
      </x:c>
      <x:c r="C6" s="13" t="inlineStr">
        <x:is>
          <x:t xml:space="preserve">Salt Lake City, UT</x:t>
        </x:is>
      </x:c>
      <x:c r="D6" s="13" t="inlineStr">
        <x:is>
          <x:t xml:space="preserve">10 Pallets</x:t>
        </x:is>
      </x:c>
      <x:c r="E6" s="23">
        <x:f>IF(D6="1 Pallet",1,IF(D6="5 Pallets",5,IF(D6="10 Pallets",10,IF(Assumptions!$B$7="","",Assumptions!$B$7))))</x:f>
        <x:v>10</x:v>
      </x:c>
      <x:c r="F6" s="23">
        <x:f>IF(Assumptions!$B$5="","",Assumptions!$B$5)</x:f>
      </x:c>
      <x:c r="G6" s="23">
        <x:f>IF(OR(E6="",F6=""),"",E6*F6)</x:f>
      </x:c>
      <x:c r="H6" s="23">
        <x:f>IF(Assumptions!$B$6="","",Assumptions!$B$6)</x:f>
      </x:c>
      <x:c r="I6" s="23">
        <x:f>IF(OR(E6="",H6=""),"",E6*H6)</x:f>
      </x:c>
      <x:c r="J6" s="24" t="n"/>
      <x:c r="K6" s="16" t="n"/>
      <x:c r="L6" s="16" t="n"/>
      <x:c r="M6" s="16" t="n"/>
      <x:c r="N6" s="16" t="n"/>
      <x:c r="O6" s="16" t="n"/>
      <x:c r="P6" s="25">
        <x:f>IF(OR(J6="",E6=""),"",J6/E6)</x:f>
      </x:c>
      <x:c r="Q6" s="25">
        <x:f>IF(OR(J6="",G6=""),"",J6/G6)</x:f>
      </x:c>
      <x:c r="R6" s="26">
        <x:f>IF(OR(J6="",I6=""),"",J6/I6)</x:f>
      </x:c>
      <x:c r="S6" s="19" t="str">
        <x:f>IF(COUNTA(J6:L6)=0,"Pending",IF(COUNTA(J6:L6)&lt;3,"Partial","Complete"))</x:f>
        <x:v>Pending</x:v>
      </x:c>
    </x:row>
    <x:row r="7" ht="22" customHeight="1">
      <x:c r="A7" s="13" t="inlineStr">
        <x:is>
          <x:t xml:space="preserve">R004</x:t>
        </x:is>
      </x:c>
      <x:c r="B7" s="13" t="inlineStr">
        <x:is>
          <x:t xml:space="preserve">Des Moines, IA</x:t>
        </x:is>
      </x:c>
      <x:c r="C7" s="13" t="inlineStr">
        <x:is>
          <x:t xml:space="preserve">Salt Lake City, UT</x:t>
        </x:is>
      </x:c>
      <x:c r="D7" s="13" t="inlineStr">
        <x:is>
          <x:t xml:space="preserve">Full Truckload</x:t>
        </x:is>
      </x:c>
      <x:c r="E7" s="23">
        <x:f>IF(D7="1 Pallet",1,IF(D7="5 Pallets",5,IF(D7="10 Pallets",10,IF(Assumptions!$B$7="","",Assumptions!$B$7))))</x:f>
        <x:v>26</x:v>
      </x:c>
      <x:c r="F7" s="23">
        <x:f>IF(Assumptions!$B$5="","",Assumptions!$B$5)</x:f>
      </x:c>
      <x:c r="G7" s="23">
        <x:f>IF(OR(E7="",F7=""),"",E7*F7)</x:f>
      </x:c>
      <x:c r="H7" s="23">
        <x:f>IF(Assumptions!$B$6="","",Assumptions!$B$6)</x:f>
      </x:c>
      <x:c r="I7" s="23">
        <x:f>IF(OR(E7="",H7=""),"",E7*H7)</x:f>
      </x:c>
      <x:c r="J7" s="24" t="n"/>
      <x:c r="K7" s="16" t="n"/>
      <x:c r="L7" s="16" t="n"/>
      <x:c r="M7" s="16" t="n"/>
      <x:c r="N7" s="16" t="n"/>
      <x:c r="O7" s="16" t="n"/>
      <x:c r="P7" s="25">
        <x:f>IF(OR(J7="",E7=""),"",J7/E7)</x:f>
      </x:c>
      <x:c r="Q7" s="25">
        <x:f>IF(OR(J7="",G7=""),"",J7/G7)</x:f>
      </x:c>
      <x:c r="R7" s="26">
        <x:f>IF(OR(J7="",I7=""),"",J7/I7)</x:f>
      </x:c>
      <x:c r="S7" s="19" t="str">
        <x:f>IF(COUNTA(J7:L7)=0,"Pending",IF(COUNTA(J7:L7)&lt;3,"Partial","Complete"))</x:f>
        <x:v>Pending</x:v>
      </x:c>
    </x:row>
    <x:row r="8" ht="22" customHeight="1">
      <x:c r="A8" s="13" t="inlineStr">
        <x:is>
          <x:t xml:space="preserve">R005</x:t>
        </x:is>
      </x:c>
      <x:c r="B8" s="13" t="inlineStr">
        <x:is>
          <x:t xml:space="preserve">Des Moines, IA</x:t>
        </x:is>
      </x:c>
      <x:c r="C8" s="13" t="inlineStr">
        <x:is>
          <x:t xml:space="preserve">Los Angeles, CA</x:t>
        </x:is>
      </x:c>
      <x:c r="D8" s="13" t="inlineStr">
        <x:is>
          <x:t xml:space="preserve">1 Pallet</x:t>
        </x:is>
      </x:c>
      <x:c r="E8" s="23">
        <x:f>IF(D8="1 Pallet",1,IF(D8="5 Pallets",5,IF(D8="10 Pallets",10,IF(Assumptions!$B$7="","",Assumptions!$B$7))))</x:f>
        <x:v>1</x:v>
      </x:c>
      <x:c r="F8" s="23">
        <x:f>IF(Assumptions!$B$5="","",Assumptions!$B$5)</x:f>
      </x:c>
      <x:c r="G8" s="23">
        <x:f>IF(OR(E8="",F8=""),"",E8*F8)</x:f>
      </x:c>
      <x:c r="H8" s="23">
        <x:f>IF(Assumptions!$B$6="","",Assumptions!$B$6)</x:f>
      </x:c>
      <x:c r="I8" s="23">
        <x:f>IF(OR(E8="",H8=""),"",E8*H8)</x:f>
      </x:c>
      <x:c r="J8" s="24" t="n"/>
      <x:c r="K8" s="16" t="n"/>
      <x:c r="L8" s="16" t="n"/>
      <x:c r="M8" s="16" t="n"/>
      <x:c r="N8" s="16" t="n"/>
      <x:c r="O8" s="16" t="n"/>
      <x:c r="P8" s="25">
        <x:f>IF(OR(J8="",E8=""),"",J8/E8)</x:f>
      </x:c>
      <x:c r="Q8" s="25">
        <x:f>IF(OR(J8="",G8=""),"",J8/G8)</x:f>
      </x:c>
      <x:c r="R8" s="26">
        <x:f>IF(OR(J8="",I8=""),"",J8/I8)</x:f>
      </x:c>
      <x:c r="S8" s="19" t="str">
        <x:f>IF(COUNTA(J8:L8)=0,"Pending",IF(COUNTA(J8:L8)&lt;3,"Partial","Complete"))</x:f>
        <x:v>Pending</x:v>
      </x:c>
    </x:row>
    <x:row r="9" ht="22" customHeight="1">
      <x:c r="A9" s="13" t="inlineStr">
        <x:is>
          <x:t xml:space="preserve">R006</x:t>
        </x:is>
      </x:c>
      <x:c r="B9" s="13" t="inlineStr">
        <x:is>
          <x:t xml:space="preserve">Des Moines, IA</x:t>
        </x:is>
      </x:c>
      <x:c r="C9" s="13" t="inlineStr">
        <x:is>
          <x:t xml:space="preserve">Los Angeles, CA</x:t>
        </x:is>
      </x:c>
      <x:c r="D9" s="13" t="inlineStr">
        <x:is>
          <x:t xml:space="preserve">5 Pallets</x:t>
        </x:is>
      </x:c>
      <x:c r="E9" s="23">
        <x:f>IF(D9="1 Pallet",1,IF(D9="5 Pallets",5,IF(D9="10 Pallets",10,IF(Assumptions!$B$7="","",Assumptions!$B$7))))</x:f>
        <x:v>5</x:v>
      </x:c>
      <x:c r="F9" s="23">
        <x:f>IF(Assumptions!$B$5="","",Assumptions!$B$5)</x:f>
      </x:c>
      <x:c r="G9" s="23">
        <x:f>IF(OR(E9="",F9=""),"",E9*F9)</x:f>
      </x:c>
      <x:c r="H9" s="23">
        <x:f>IF(Assumptions!$B$6="","",Assumptions!$B$6)</x:f>
      </x:c>
      <x:c r="I9" s="23">
        <x:f>IF(OR(E9="",H9=""),"",E9*H9)</x:f>
      </x:c>
      <x:c r="J9" s="24" t="n"/>
      <x:c r="K9" s="16" t="n"/>
      <x:c r="L9" s="16" t="n"/>
      <x:c r="M9" s="16" t="n"/>
      <x:c r="N9" s="16" t="n"/>
      <x:c r="O9" s="16" t="n"/>
      <x:c r="P9" s="25">
        <x:f>IF(OR(J9="",E9=""),"",J9/E9)</x:f>
      </x:c>
      <x:c r="Q9" s="25">
        <x:f>IF(OR(J9="",G9=""),"",J9/G9)</x:f>
      </x:c>
      <x:c r="R9" s="26">
        <x:f>IF(OR(J9="",I9=""),"",J9/I9)</x:f>
      </x:c>
      <x:c r="S9" s="19" t="str">
        <x:f>IF(COUNTA(J9:L9)=0,"Pending",IF(COUNTA(J9:L9)&lt;3,"Partial","Complete"))</x:f>
        <x:v>Pending</x:v>
      </x:c>
    </x:row>
    <x:row r="10" ht="22" customHeight="1">
      <x:c r="A10" s="13" t="inlineStr">
        <x:is>
          <x:t xml:space="preserve">R007</x:t>
        </x:is>
      </x:c>
      <x:c r="B10" s="13" t="inlineStr">
        <x:is>
          <x:t xml:space="preserve">Des Moines, IA</x:t>
        </x:is>
      </x:c>
      <x:c r="C10" s="13" t="inlineStr">
        <x:is>
          <x:t xml:space="preserve">Los Angeles, CA</x:t>
        </x:is>
      </x:c>
      <x:c r="D10" s="13" t="inlineStr">
        <x:is>
          <x:t xml:space="preserve">10 Pallets</x:t>
        </x:is>
      </x:c>
      <x:c r="E10" s="23">
        <x:f>IF(D10="1 Pallet",1,IF(D10="5 Pallets",5,IF(D10="10 Pallets",10,IF(Assumptions!$B$7="","",Assumptions!$B$7))))</x:f>
        <x:v>10</x:v>
      </x:c>
      <x:c r="F10" s="23">
        <x:f>IF(Assumptions!$B$5="","",Assumptions!$B$5)</x:f>
      </x:c>
      <x:c r="G10" s="23">
        <x:f>IF(OR(E10="",F10=""),"",E10*F10)</x:f>
      </x:c>
      <x:c r="H10" s="23">
        <x:f>IF(Assumptions!$B$6="","",Assumptions!$B$6)</x:f>
      </x:c>
      <x:c r="I10" s="23">
        <x:f>IF(OR(E10="",H10=""),"",E10*H10)</x:f>
      </x:c>
      <x:c r="J10" s="24" t="n"/>
      <x:c r="K10" s="16" t="n"/>
      <x:c r="L10" s="16" t="n"/>
      <x:c r="M10" s="16" t="n"/>
      <x:c r="N10" s="16" t="n"/>
      <x:c r="O10" s="16" t="n"/>
      <x:c r="P10" s="25">
        <x:f>IF(OR(J10="",E10=""),"",J10/E10)</x:f>
      </x:c>
      <x:c r="Q10" s="25">
        <x:f>IF(OR(J10="",G10=""),"",J10/G10)</x:f>
      </x:c>
      <x:c r="R10" s="26">
        <x:f>IF(OR(J10="",I10=""),"",J10/I10)</x:f>
      </x:c>
      <x:c r="S10" s="19" t="str">
        <x:f>IF(COUNTA(J10:L10)=0,"Pending",IF(COUNTA(J10:L10)&lt;3,"Partial","Complete"))</x:f>
        <x:v>Pending</x:v>
      </x:c>
    </x:row>
    <x:row r="11" ht="22" customHeight="1">
      <x:c r="A11" s="13" t="inlineStr">
        <x:is>
          <x:t xml:space="preserve">R008</x:t>
        </x:is>
      </x:c>
      <x:c r="B11" s="13" t="inlineStr">
        <x:is>
          <x:t xml:space="preserve">Des Moines, IA</x:t>
        </x:is>
      </x:c>
      <x:c r="C11" s="13" t="inlineStr">
        <x:is>
          <x:t xml:space="preserve">Los Angeles, CA</x:t>
        </x:is>
      </x:c>
      <x:c r="D11" s="13" t="inlineStr">
        <x:is>
          <x:t xml:space="preserve">Full Truckload</x:t>
        </x:is>
      </x:c>
      <x:c r="E11" s="23">
        <x:f>IF(D11="1 Pallet",1,IF(D11="5 Pallets",5,IF(D11="10 Pallets",10,IF(Assumptions!$B$7="","",Assumptions!$B$7))))</x:f>
        <x:v>26</x:v>
      </x:c>
      <x:c r="F11" s="23">
        <x:f>IF(Assumptions!$B$5="","",Assumptions!$B$5)</x:f>
      </x:c>
      <x:c r="G11" s="23">
        <x:f>IF(OR(E11="",F11=""),"",E11*F11)</x:f>
      </x:c>
      <x:c r="H11" s="23">
        <x:f>IF(Assumptions!$B$6="","",Assumptions!$B$6)</x:f>
      </x:c>
      <x:c r="I11" s="23">
        <x:f>IF(OR(E11="",H11=""),"",E11*H11)</x:f>
      </x:c>
      <x:c r="J11" s="24" t="n"/>
      <x:c r="K11" s="16" t="n"/>
      <x:c r="L11" s="16" t="n"/>
      <x:c r="M11" s="16" t="n"/>
      <x:c r="N11" s="16" t="n"/>
      <x:c r="O11" s="16" t="n"/>
      <x:c r="P11" s="25">
        <x:f>IF(OR(J11="",E11=""),"",J11/E11)</x:f>
      </x:c>
      <x:c r="Q11" s="25">
        <x:f>IF(OR(J11="",G11=""),"",J11/G11)</x:f>
      </x:c>
      <x:c r="R11" s="26">
        <x:f>IF(OR(J11="",I11=""),"",J11/I11)</x:f>
      </x:c>
      <x:c r="S11" s="19" t="str">
        <x:f>IF(COUNTA(J11:L11)=0,"Pending",IF(COUNTA(J11:L11)&lt;3,"Partial","Complete"))</x:f>
        <x:v>Pending</x:v>
      </x:c>
    </x:row>
    <x:row r="12" ht="22" customHeight="1">
      <x:c r="A12" s="13" t="inlineStr">
        <x:is>
          <x:t xml:space="preserve">R009</x:t>
        </x:is>
      </x:c>
      <x:c r="B12" s="13" t="inlineStr">
        <x:is>
          <x:t xml:space="preserve">Des Moines, IA</x:t>
        </x:is>
      </x:c>
      <x:c r="C12" s="13" t="inlineStr">
        <x:is>
          <x:t xml:space="preserve">New York, NY</x:t>
        </x:is>
      </x:c>
      <x:c r="D12" s="13" t="inlineStr">
        <x:is>
          <x:t xml:space="preserve">1 Pallet</x:t>
        </x:is>
      </x:c>
      <x:c r="E12" s="23">
        <x:f>IF(D12="1 Pallet",1,IF(D12="5 Pallets",5,IF(D12="10 Pallets",10,IF(Assumptions!$B$7="","",Assumptions!$B$7))))</x:f>
        <x:v>1</x:v>
      </x:c>
      <x:c r="F12" s="23">
        <x:f>IF(Assumptions!$B$5="","",Assumptions!$B$5)</x:f>
      </x:c>
      <x:c r="G12" s="23">
        <x:f>IF(OR(E12="",F12=""),"",E12*F12)</x:f>
      </x:c>
      <x:c r="H12" s="23">
        <x:f>IF(Assumptions!$B$6="","",Assumptions!$B$6)</x:f>
      </x:c>
      <x:c r="I12" s="23">
        <x:f>IF(OR(E12="",H12=""),"",E12*H12)</x:f>
      </x:c>
      <x:c r="J12" s="24" t="n"/>
      <x:c r="K12" s="16" t="n"/>
      <x:c r="L12" s="16" t="n"/>
      <x:c r="M12" s="16" t="n"/>
      <x:c r="N12" s="16" t="n"/>
      <x:c r="O12" s="16" t="n"/>
      <x:c r="P12" s="25">
        <x:f>IF(OR(J12="",E12=""),"",J12/E12)</x:f>
      </x:c>
      <x:c r="Q12" s="25">
        <x:f>IF(OR(J12="",G12=""),"",J12/G12)</x:f>
      </x:c>
      <x:c r="R12" s="26">
        <x:f>IF(OR(J12="",I12=""),"",J12/I12)</x:f>
      </x:c>
      <x:c r="S12" s="19" t="str">
        <x:f>IF(COUNTA(J12:L12)=0,"Pending",IF(COUNTA(J12:L12)&lt;3,"Partial","Complete"))</x:f>
        <x:v>Pending</x:v>
      </x:c>
    </x:row>
    <x:row r="13" ht="22" customHeight="1">
      <x:c r="A13" s="13" t="inlineStr">
        <x:is>
          <x:t xml:space="preserve">R010</x:t>
        </x:is>
      </x:c>
      <x:c r="B13" s="13" t="inlineStr">
        <x:is>
          <x:t xml:space="preserve">Des Moines, IA</x:t>
        </x:is>
      </x:c>
      <x:c r="C13" s="13" t="inlineStr">
        <x:is>
          <x:t xml:space="preserve">New York, NY</x:t>
        </x:is>
      </x:c>
      <x:c r="D13" s="13" t="inlineStr">
        <x:is>
          <x:t xml:space="preserve">5 Pallets</x:t>
        </x:is>
      </x:c>
      <x:c r="E13" s="23">
        <x:f>IF(D13="1 Pallet",1,IF(D13="5 Pallets",5,IF(D13="10 Pallets",10,IF(Assumptions!$B$7="","",Assumptions!$B$7))))</x:f>
        <x:v>5</x:v>
      </x:c>
      <x:c r="F13" s="23">
        <x:f>IF(Assumptions!$B$5="","",Assumptions!$B$5)</x:f>
      </x:c>
      <x:c r="G13" s="23">
        <x:f>IF(OR(E13="",F13=""),"",E13*F13)</x:f>
      </x:c>
      <x:c r="H13" s="23">
        <x:f>IF(Assumptions!$B$6="","",Assumptions!$B$6)</x:f>
      </x:c>
      <x:c r="I13" s="23">
        <x:f>IF(OR(E13="",H13=""),"",E13*H13)</x:f>
      </x:c>
      <x:c r="J13" s="24" t="n"/>
      <x:c r="K13" s="16" t="n"/>
      <x:c r="L13" s="16" t="n"/>
      <x:c r="M13" s="16" t="n"/>
      <x:c r="N13" s="16" t="n"/>
      <x:c r="O13" s="16" t="n"/>
      <x:c r="P13" s="25">
        <x:f>IF(OR(J13="",E13=""),"",J13/E13)</x:f>
      </x:c>
      <x:c r="Q13" s="25">
        <x:f>IF(OR(J13="",G13=""),"",J13/G13)</x:f>
      </x:c>
      <x:c r="R13" s="26">
        <x:f>IF(OR(J13="",I13=""),"",J13/I13)</x:f>
      </x:c>
      <x:c r="S13" s="19" t="str">
        <x:f>IF(COUNTA(J13:L13)=0,"Pending",IF(COUNTA(J13:L13)&lt;3,"Partial","Complete"))</x:f>
        <x:v>Pending</x:v>
      </x:c>
    </x:row>
    <x:row r="14" ht="22" customHeight="1">
      <x:c r="A14" s="13" t="inlineStr">
        <x:is>
          <x:t xml:space="preserve">R011</x:t>
        </x:is>
      </x:c>
      <x:c r="B14" s="13" t="inlineStr">
        <x:is>
          <x:t xml:space="preserve">Des Moines, IA</x:t>
        </x:is>
      </x:c>
      <x:c r="C14" s="13" t="inlineStr">
        <x:is>
          <x:t xml:space="preserve">New York, NY</x:t>
        </x:is>
      </x:c>
      <x:c r="D14" s="13" t="inlineStr">
        <x:is>
          <x:t xml:space="preserve">10 Pallets</x:t>
        </x:is>
      </x:c>
      <x:c r="E14" s="23">
        <x:f>IF(D14="1 Pallet",1,IF(D14="5 Pallets",5,IF(D14="10 Pallets",10,IF(Assumptions!$B$7="","",Assumptions!$B$7))))</x:f>
        <x:v>10</x:v>
      </x:c>
      <x:c r="F14" s="23">
        <x:f>IF(Assumptions!$B$5="","",Assumptions!$B$5)</x:f>
      </x:c>
      <x:c r="G14" s="23">
        <x:f>IF(OR(E14="",F14=""),"",E14*F14)</x:f>
      </x:c>
      <x:c r="H14" s="23">
        <x:f>IF(Assumptions!$B$6="","",Assumptions!$B$6)</x:f>
      </x:c>
      <x:c r="I14" s="23">
        <x:f>IF(OR(E14="",H14=""),"",E14*H14)</x:f>
      </x:c>
      <x:c r="J14" s="24" t="n"/>
      <x:c r="K14" s="16" t="n"/>
      <x:c r="L14" s="16" t="n"/>
      <x:c r="M14" s="16" t="n"/>
      <x:c r="N14" s="16" t="n"/>
      <x:c r="O14" s="16" t="n"/>
      <x:c r="P14" s="25">
        <x:f>IF(OR(J14="",E14=""),"",J14/E14)</x:f>
      </x:c>
      <x:c r="Q14" s="25">
        <x:f>IF(OR(J14="",G14=""),"",J14/G14)</x:f>
      </x:c>
      <x:c r="R14" s="26">
        <x:f>IF(OR(J14="",I14=""),"",J14/I14)</x:f>
      </x:c>
      <x:c r="S14" s="19" t="str">
        <x:f>IF(COUNTA(J14:L14)=0,"Pending",IF(COUNTA(J14:L14)&lt;3,"Partial","Complete"))</x:f>
        <x:v>Pending</x:v>
      </x:c>
    </x:row>
    <x:row r="15" ht="22" customHeight="1">
      <x:c r="A15" s="13" t="inlineStr">
        <x:is>
          <x:t xml:space="preserve">R012</x:t>
        </x:is>
      </x:c>
      <x:c r="B15" s="13" t="inlineStr">
        <x:is>
          <x:t xml:space="preserve">Des Moines, IA</x:t>
        </x:is>
      </x:c>
      <x:c r="C15" s="13" t="inlineStr">
        <x:is>
          <x:t xml:space="preserve">New York, NY</x:t>
        </x:is>
      </x:c>
      <x:c r="D15" s="13" t="inlineStr">
        <x:is>
          <x:t xml:space="preserve">Full Truckload</x:t>
        </x:is>
      </x:c>
      <x:c r="E15" s="23">
        <x:f>IF(D15="1 Pallet",1,IF(D15="5 Pallets",5,IF(D15="10 Pallets",10,IF(Assumptions!$B$7="","",Assumptions!$B$7))))</x:f>
        <x:v>26</x:v>
      </x:c>
      <x:c r="F15" s="23">
        <x:f>IF(Assumptions!$B$5="","",Assumptions!$B$5)</x:f>
      </x:c>
      <x:c r="G15" s="23">
        <x:f>IF(OR(E15="",F15=""),"",E15*F15)</x:f>
      </x:c>
      <x:c r="H15" s="23">
        <x:f>IF(Assumptions!$B$6="","",Assumptions!$B$6)</x:f>
      </x:c>
      <x:c r="I15" s="23">
        <x:f>IF(OR(E15="",H15=""),"",E15*H15)</x:f>
      </x:c>
      <x:c r="J15" s="24" t="n"/>
      <x:c r="K15" s="16" t="n"/>
      <x:c r="L15" s="16" t="n"/>
      <x:c r="M15" s="16" t="n"/>
      <x:c r="N15" s="16" t="n"/>
      <x:c r="O15" s="16" t="n"/>
      <x:c r="P15" s="25">
        <x:f>IF(OR(J15="",E15=""),"",J15/E15)</x:f>
      </x:c>
      <x:c r="Q15" s="25">
        <x:f>IF(OR(J15="",G15=""),"",J15/G15)</x:f>
      </x:c>
      <x:c r="R15" s="26">
        <x:f>IF(OR(J15="",I15=""),"",J15/I15)</x:f>
      </x:c>
      <x:c r="S15" s="19" t="str">
        <x:f>IF(COUNTA(J15:L15)=0,"Pending",IF(COUNTA(J15:L15)&lt;3,"Partial","Complete"))</x:f>
        <x:v>Pending</x:v>
      </x:c>
    </x:row>
    <x:row r="16" ht="22" customHeight="1">
      <x:c r="A16" s="13" t="inlineStr">
        <x:is>
          <x:t xml:space="preserve">R013</x:t>
        </x:is>
      </x:c>
      <x:c r="B16" s="13" t="inlineStr">
        <x:is>
          <x:t xml:space="preserve">Des Moines, IA</x:t>
        </x:is>
      </x:c>
      <x:c r="C16" s="13" t="inlineStr">
        <x:is>
          <x:t xml:space="preserve">Boston, MA</x:t>
        </x:is>
      </x:c>
      <x:c r="D16" s="13" t="inlineStr">
        <x:is>
          <x:t xml:space="preserve">1 Pallet</x:t>
        </x:is>
      </x:c>
      <x:c r="E16" s="23">
        <x:f>IF(D16="1 Pallet",1,IF(D16="5 Pallets",5,IF(D16="10 Pallets",10,IF(Assumptions!$B$7="","",Assumptions!$B$7))))</x:f>
        <x:v>1</x:v>
      </x:c>
      <x:c r="F16" s="23">
        <x:f>IF(Assumptions!$B$5="","",Assumptions!$B$5)</x:f>
      </x:c>
      <x:c r="G16" s="23">
        <x:f>IF(OR(E16="",F16=""),"",E16*F16)</x:f>
      </x:c>
      <x:c r="H16" s="23">
        <x:f>IF(Assumptions!$B$6="","",Assumptions!$B$6)</x:f>
      </x:c>
      <x:c r="I16" s="23">
        <x:f>IF(OR(E16="",H16=""),"",E16*H16)</x:f>
      </x:c>
      <x:c r="J16" s="24" t="n"/>
      <x:c r="K16" s="16" t="n"/>
      <x:c r="L16" s="16" t="n"/>
      <x:c r="M16" s="16" t="n"/>
      <x:c r="N16" s="16" t="n"/>
      <x:c r="O16" s="16" t="n"/>
      <x:c r="P16" s="25">
        <x:f>IF(OR(J16="",E16=""),"",J16/E16)</x:f>
      </x:c>
      <x:c r="Q16" s="25">
        <x:f>IF(OR(J16="",G16=""),"",J16/G16)</x:f>
      </x:c>
      <x:c r="R16" s="26">
        <x:f>IF(OR(J16="",I16=""),"",J16/I16)</x:f>
      </x:c>
      <x:c r="S16" s="19" t="str">
        <x:f>IF(COUNTA(J16:L16)=0,"Pending",IF(COUNTA(J16:L16)&lt;3,"Partial","Complete"))</x:f>
        <x:v>Pending</x:v>
      </x:c>
    </x:row>
    <x:row r="17" ht="22" customHeight="1">
      <x:c r="A17" s="13" t="inlineStr">
        <x:is>
          <x:t xml:space="preserve">R014</x:t>
        </x:is>
      </x:c>
      <x:c r="B17" s="13" t="inlineStr">
        <x:is>
          <x:t xml:space="preserve">Des Moines, IA</x:t>
        </x:is>
      </x:c>
      <x:c r="C17" s="13" t="inlineStr">
        <x:is>
          <x:t xml:space="preserve">Boston, MA</x:t>
        </x:is>
      </x:c>
      <x:c r="D17" s="13" t="inlineStr">
        <x:is>
          <x:t xml:space="preserve">5 Pallets</x:t>
        </x:is>
      </x:c>
      <x:c r="E17" s="23">
        <x:f>IF(D17="1 Pallet",1,IF(D17="5 Pallets",5,IF(D17="10 Pallets",10,IF(Assumptions!$B$7="","",Assumptions!$B$7))))</x:f>
        <x:v>5</x:v>
      </x:c>
      <x:c r="F17" s="23">
        <x:f>IF(Assumptions!$B$5="","",Assumptions!$B$5)</x:f>
      </x:c>
      <x:c r="G17" s="23">
        <x:f>IF(OR(E17="",F17=""),"",E17*F17)</x:f>
      </x:c>
      <x:c r="H17" s="23">
        <x:f>IF(Assumptions!$B$6="","",Assumptions!$B$6)</x:f>
      </x:c>
      <x:c r="I17" s="23">
        <x:f>IF(OR(E17="",H17=""),"",E17*H17)</x:f>
      </x:c>
      <x:c r="J17" s="24" t="n"/>
      <x:c r="K17" s="16" t="n"/>
      <x:c r="L17" s="16" t="n"/>
      <x:c r="M17" s="16" t="n"/>
      <x:c r="N17" s="16" t="n"/>
      <x:c r="O17" s="16" t="n"/>
      <x:c r="P17" s="25">
        <x:f>IF(OR(J17="",E17=""),"",J17/E17)</x:f>
      </x:c>
      <x:c r="Q17" s="25">
        <x:f>IF(OR(J17="",G17=""),"",J17/G17)</x:f>
      </x:c>
      <x:c r="R17" s="26">
        <x:f>IF(OR(J17="",I17=""),"",J17/I17)</x:f>
      </x:c>
      <x:c r="S17" s="19" t="str">
        <x:f>IF(COUNTA(J17:L17)=0,"Pending",IF(COUNTA(J17:L17)&lt;3,"Partial","Complete"))</x:f>
        <x:v>Pending</x:v>
      </x:c>
    </x:row>
    <x:row r="18" ht="22" customHeight="1">
      <x:c r="A18" s="13" t="inlineStr">
        <x:is>
          <x:t xml:space="preserve">R015</x:t>
        </x:is>
      </x:c>
      <x:c r="B18" s="13" t="inlineStr">
        <x:is>
          <x:t xml:space="preserve">Des Moines, IA</x:t>
        </x:is>
      </x:c>
      <x:c r="C18" s="13" t="inlineStr">
        <x:is>
          <x:t xml:space="preserve">Boston, MA</x:t>
        </x:is>
      </x:c>
      <x:c r="D18" s="13" t="inlineStr">
        <x:is>
          <x:t xml:space="preserve">10 Pallets</x:t>
        </x:is>
      </x:c>
      <x:c r="E18" s="23">
        <x:f>IF(D18="1 Pallet",1,IF(D18="5 Pallets",5,IF(D18="10 Pallets",10,IF(Assumptions!$B$7="","",Assumptions!$B$7))))</x:f>
        <x:v>10</x:v>
      </x:c>
      <x:c r="F18" s="23">
        <x:f>IF(Assumptions!$B$5="","",Assumptions!$B$5)</x:f>
      </x:c>
      <x:c r="G18" s="23">
        <x:f>IF(OR(E18="",F18=""),"",E18*F18)</x:f>
      </x:c>
      <x:c r="H18" s="23">
        <x:f>IF(Assumptions!$B$6="","",Assumptions!$B$6)</x:f>
      </x:c>
      <x:c r="I18" s="23">
        <x:f>IF(OR(E18="",H18=""),"",E18*H18)</x:f>
      </x:c>
      <x:c r="J18" s="24" t="n"/>
      <x:c r="K18" s="16" t="n"/>
      <x:c r="L18" s="16" t="n"/>
      <x:c r="M18" s="16" t="n"/>
      <x:c r="N18" s="16" t="n"/>
      <x:c r="O18" s="16" t="n"/>
      <x:c r="P18" s="25">
        <x:f>IF(OR(J18="",E18=""),"",J18/E18)</x:f>
      </x:c>
      <x:c r="Q18" s="25">
        <x:f>IF(OR(J18="",G18=""),"",J18/G18)</x:f>
      </x:c>
      <x:c r="R18" s="26">
        <x:f>IF(OR(J18="",I18=""),"",J18/I18)</x:f>
      </x:c>
      <x:c r="S18" s="19" t="str">
        <x:f>IF(COUNTA(J18:L18)=0,"Pending",IF(COUNTA(J18:L18)&lt;3,"Partial","Complete"))</x:f>
        <x:v>Pending</x:v>
      </x:c>
    </x:row>
    <x:row r="19" ht="22" customHeight="1">
      <x:c r="A19" s="13" t="inlineStr">
        <x:is>
          <x:t xml:space="preserve">R016</x:t>
        </x:is>
      </x:c>
      <x:c r="B19" s="13" t="inlineStr">
        <x:is>
          <x:t xml:space="preserve">Des Moines, IA</x:t>
        </x:is>
      </x:c>
      <x:c r="C19" s="13" t="inlineStr">
        <x:is>
          <x:t xml:space="preserve">Boston, MA</x:t>
        </x:is>
      </x:c>
      <x:c r="D19" s="13" t="inlineStr">
        <x:is>
          <x:t xml:space="preserve">Full Truckload</x:t>
        </x:is>
      </x:c>
      <x:c r="E19" s="23">
        <x:f>IF(D19="1 Pallet",1,IF(D19="5 Pallets",5,IF(D19="10 Pallets",10,IF(Assumptions!$B$7="","",Assumptions!$B$7))))</x:f>
        <x:v>26</x:v>
      </x:c>
      <x:c r="F19" s="23">
        <x:f>IF(Assumptions!$B$5="","",Assumptions!$B$5)</x:f>
      </x:c>
      <x:c r="G19" s="23">
        <x:f>IF(OR(E19="",F19=""),"",E19*F19)</x:f>
      </x:c>
      <x:c r="H19" s="23">
        <x:f>IF(Assumptions!$B$6="","",Assumptions!$B$6)</x:f>
      </x:c>
      <x:c r="I19" s="23">
        <x:f>IF(OR(E19="",H19=""),"",E19*H19)</x:f>
      </x:c>
      <x:c r="J19" s="24" t="n"/>
      <x:c r="K19" s="16" t="n"/>
      <x:c r="L19" s="16" t="n"/>
      <x:c r="M19" s="16" t="n"/>
      <x:c r="N19" s="16" t="n"/>
      <x:c r="O19" s="16" t="n"/>
      <x:c r="P19" s="25">
        <x:f>IF(OR(J19="",E19=""),"",J19/E19)</x:f>
      </x:c>
      <x:c r="Q19" s="25">
        <x:f>IF(OR(J19="",G19=""),"",J19/G19)</x:f>
      </x:c>
      <x:c r="R19" s="26">
        <x:f>IF(OR(J19="",I19=""),"",J19/I19)</x:f>
      </x:c>
      <x:c r="S19" s="19" t="str">
        <x:f>IF(COUNTA(J19:L19)=0,"Pending",IF(COUNTA(J19:L19)&lt;3,"Partial","Complete"))</x:f>
        <x:v>Pending</x:v>
      </x:c>
    </x:row>
    <x:row r="20" ht="22" customHeight="1">
      <x:c r="A20" s="13" t="inlineStr">
        <x:is>
          <x:t xml:space="preserve">R017</x:t>
        </x:is>
      </x:c>
      <x:c r="B20" s="13" t="inlineStr">
        <x:is>
          <x:t xml:space="preserve">Des Moines, IA</x:t>
        </x:is>
      </x:c>
      <x:c r="C20" s="13" t="inlineStr">
        <x:is>
          <x:t xml:space="preserve">Dallas, TX</x:t>
        </x:is>
      </x:c>
      <x:c r="D20" s="13" t="inlineStr">
        <x:is>
          <x:t xml:space="preserve">1 Pallet</x:t>
        </x:is>
      </x:c>
      <x:c r="E20" s="23">
        <x:f>IF(D20="1 Pallet",1,IF(D20="5 Pallets",5,IF(D20="10 Pallets",10,IF(Assumptions!$B$7="","",Assumptions!$B$7))))</x:f>
        <x:v>1</x:v>
      </x:c>
      <x:c r="F20" s="23">
        <x:f>IF(Assumptions!$B$5="","",Assumptions!$B$5)</x:f>
      </x:c>
      <x:c r="G20" s="23">
        <x:f>IF(OR(E20="",F20=""),"",E20*F20)</x:f>
      </x:c>
      <x:c r="H20" s="23">
        <x:f>IF(Assumptions!$B$6="","",Assumptions!$B$6)</x:f>
      </x:c>
      <x:c r="I20" s="23">
        <x:f>IF(OR(E20="",H20=""),"",E20*H20)</x:f>
      </x:c>
      <x:c r="J20" s="24" t="n"/>
      <x:c r="K20" s="16" t="n"/>
      <x:c r="L20" s="16" t="n"/>
      <x:c r="M20" s="16" t="n"/>
      <x:c r="N20" s="16" t="n"/>
      <x:c r="O20" s="16" t="n"/>
      <x:c r="P20" s="25">
        <x:f>IF(OR(J20="",E20=""),"",J20/E20)</x:f>
      </x:c>
      <x:c r="Q20" s="25">
        <x:f>IF(OR(J20="",G20=""),"",J20/G20)</x:f>
      </x:c>
      <x:c r="R20" s="26">
        <x:f>IF(OR(J20="",I20=""),"",J20/I20)</x:f>
      </x:c>
      <x:c r="S20" s="19" t="str">
        <x:f>IF(COUNTA(J20:L20)=0,"Pending",IF(COUNTA(J20:L20)&lt;3,"Partial","Complete"))</x:f>
        <x:v>Pending</x:v>
      </x:c>
    </x:row>
    <x:row r="21" ht="22" customHeight="1">
      <x:c r="A21" s="13" t="inlineStr">
        <x:is>
          <x:t xml:space="preserve">R018</x:t>
        </x:is>
      </x:c>
      <x:c r="B21" s="13" t="inlineStr">
        <x:is>
          <x:t xml:space="preserve">Des Moines, IA</x:t>
        </x:is>
      </x:c>
      <x:c r="C21" s="13" t="inlineStr">
        <x:is>
          <x:t xml:space="preserve">Dallas, TX</x:t>
        </x:is>
      </x:c>
      <x:c r="D21" s="13" t="inlineStr">
        <x:is>
          <x:t xml:space="preserve">5 Pallets</x:t>
        </x:is>
      </x:c>
      <x:c r="E21" s="23">
        <x:f>IF(D21="1 Pallet",1,IF(D21="5 Pallets",5,IF(D21="10 Pallets",10,IF(Assumptions!$B$7="","",Assumptions!$B$7))))</x:f>
        <x:v>5</x:v>
      </x:c>
      <x:c r="F21" s="23">
        <x:f>IF(Assumptions!$B$5="","",Assumptions!$B$5)</x:f>
      </x:c>
      <x:c r="G21" s="23">
        <x:f>IF(OR(E21="",F21=""),"",E21*F21)</x:f>
      </x:c>
      <x:c r="H21" s="23">
        <x:f>IF(Assumptions!$B$6="","",Assumptions!$B$6)</x:f>
      </x:c>
      <x:c r="I21" s="23">
        <x:f>IF(OR(E21="",H21=""),"",E21*H21)</x:f>
      </x:c>
      <x:c r="J21" s="24" t="n"/>
      <x:c r="K21" s="16" t="n"/>
      <x:c r="L21" s="16" t="n"/>
      <x:c r="M21" s="16" t="n"/>
      <x:c r="N21" s="16" t="n"/>
      <x:c r="O21" s="16" t="n"/>
      <x:c r="P21" s="25">
        <x:f>IF(OR(J21="",E21=""),"",J21/E21)</x:f>
      </x:c>
      <x:c r="Q21" s="25">
        <x:f>IF(OR(J21="",G21=""),"",J21/G21)</x:f>
      </x:c>
      <x:c r="R21" s="26">
        <x:f>IF(OR(J21="",I21=""),"",J21/I21)</x:f>
      </x:c>
      <x:c r="S21" s="19" t="str">
        <x:f>IF(COUNTA(J21:L21)=0,"Pending",IF(COUNTA(J21:L21)&lt;3,"Partial","Complete"))</x:f>
        <x:v>Pending</x:v>
      </x:c>
    </x:row>
    <x:row r="22" ht="22" customHeight="1">
      <x:c r="A22" s="13" t="inlineStr">
        <x:is>
          <x:t xml:space="preserve">R019</x:t>
        </x:is>
      </x:c>
      <x:c r="B22" s="13" t="inlineStr">
        <x:is>
          <x:t xml:space="preserve">Des Moines, IA</x:t>
        </x:is>
      </x:c>
      <x:c r="C22" s="13" t="inlineStr">
        <x:is>
          <x:t xml:space="preserve">Dallas, TX</x:t>
        </x:is>
      </x:c>
      <x:c r="D22" s="13" t="inlineStr">
        <x:is>
          <x:t xml:space="preserve">10 Pallets</x:t>
        </x:is>
      </x:c>
      <x:c r="E22" s="23">
        <x:f>IF(D22="1 Pallet",1,IF(D22="5 Pallets",5,IF(D22="10 Pallets",10,IF(Assumptions!$B$7="","",Assumptions!$B$7))))</x:f>
        <x:v>10</x:v>
      </x:c>
      <x:c r="F22" s="23">
        <x:f>IF(Assumptions!$B$5="","",Assumptions!$B$5)</x:f>
      </x:c>
      <x:c r="G22" s="23">
        <x:f>IF(OR(E22="",F22=""),"",E22*F22)</x:f>
      </x:c>
      <x:c r="H22" s="23">
        <x:f>IF(Assumptions!$B$6="","",Assumptions!$B$6)</x:f>
      </x:c>
      <x:c r="I22" s="23">
        <x:f>IF(OR(E22="",H22=""),"",E22*H22)</x:f>
      </x:c>
      <x:c r="J22" s="24" t="n"/>
      <x:c r="K22" s="16" t="n"/>
      <x:c r="L22" s="16" t="n"/>
      <x:c r="M22" s="16" t="n"/>
      <x:c r="N22" s="16" t="n"/>
      <x:c r="O22" s="16" t="n"/>
      <x:c r="P22" s="25">
        <x:f>IF(OR(J22="",E22=""),"",J22/E22)</x:f>
      </x:c>
      <x:c r="Q22" s="25">
        <x:f>IF(OR(J22="",G22=""),"",J22/G22)</x:f>
      </x:c>
      <x:c r="R22" s="26">
        <x:f>IF(OR(J22="",I22=""),"",J22/I22)</x:f>
      </x:c>
      <x:c r="S22" s="19" t="str">
        <x:f>IF(COUNTA(J22:L22)=0,"Pending",IF(COUNTA(J22:L22)&lt;3,"Partial","Complete"))</x:f>
        <x:v>Pending</x:v>
      </x:c>
    </x:row>
    <x:row r="23" ht="22" customHeight="1">
      <x:c r="A23" s="13" t="inlineStr">
        <x:is>
          <x:t xml:space="preserve">R020</x:t>
        </x:is>
      </x:c>
      <x:c r="B23" s="13" t="inlineStr">
        <x:is>
          <x:t xml:space="preserve">Des Moines, IA</x:t>
        </x:is>
      </x:c>
      <x:c r="C23" s="13" t="inlineStr">
        <x:is>
          <x:t xml:space="preserve">Dallas, TX</x:t>
        </x:is>
      </x:c>
      <x:c r="D23" s="13" t="inlineStr">
        <x:is>
          <x:t xml:space="preserve">Full Truckload</x:t>
        </x:is>
      </x:c>
      <x:c r="E23" s="23">
        <x:f>IF(D23="1 Pallet",1,IF(D23="5 Pallets",5,IF(D23="10 Pallets",10,IF(Assumptions!$B$7="","",Assumptions!$B$7))))</x:f>
        <x:v>26</x:v>
      </x:c>
      <x:c r="F23" s="23">
        <x:f>IF(Assumptions!$B$5="","",Assumptions!$B$5)</x:f>
      </x:c>
      <x:c r="G23" s="23">
        <x:f>IF(OR(E23="",F23=""),"",E23*F23)</x:f>
      </x:c>
      <x:c r="H23" s="23">
        <x:f>IF(Assumptions!$B$6="","",Assumptions!$B$6)</x:f>
      </x:c>
      <x:c r="I23" s="23">
        <x:f>IF(OR(E23="",H23=""),"",E23*H23)</x:f>
      </x:c>
      <x:c r="J23" s="24" t="n"/>
      <x:c r="K23" s="16" t="n"/>
      <x:c r="L23" s="16" t="n"/>
      <x:c r="M23" s="16" t="n"/>
      <x:c r="N23" s="16" t="n"/>
      <x:c r="O23" s="16" t="n"/>
      <x:c r="P23" s="25">
        <x:f>IF(OR(J23="",E23=""),"",J23/E23)</x:f>
      </x:c>
      <x:c r="Q23" s="25">
        <x:f>IF(OR(J23="",G23=""),"",J23/G23)</x:f>
      </x:c>
      <x:c r="R23" s="26">
        <x:f>IF(OR(J23="",I23=""),"",J23/I23)</x:f>
      </x:c>
      <x:c r="S23" s="19" t="str">
        <x:f>IF(COUNTA(J23:L23)=0,"Pending",IF(COUNTA(J23:L23)&lt;3,"Partial","Complete"))</x:f>
        <x:v>Pending</x:v>
      </x:c>
    </x:row>
    <x:row r="24" ht="22" customHeight="1">
      <x:c r="A24" s="13" t="inlineStr">
        <x:is>
          <x:t xml:space="preserve">R021</x:t>
        </x:is>
      </x:c>
      <x:c r="B24" s="13" t="inlineStr">
        <x:is>
          <x:t xml:space="preserve">Des Moines, IA</x:t>
        </x:is>
      </x:c>
      <x:c r="C24" s="13" t="inlineStr">
        <x:is>
          <x:t xml:space="preserve">Seattle, WA</x:t>
        </x:is>
      </x:c>
      <x:c r="D24" s="13" t="inlineStr">
        <x:is>
          <x:t xml:space="preserve">1 Pallet</x:t>
        </x:is>
      </x:c>
      <x:c r="E24" s="23">
        <x:f>IF(D24="1 Pallet",1,IF(D24="5 Pallets",5,IF(D24="10 Pallets",10,IF(Assumptions!$B$7="","",Assumptions!$B$7))))</x:f>
        <x:v>1</x:v>
      </x:c>
      <x:c r="F24" s="23">
        <x:f>IF(Assumptions!$B$5="","",Assumptions!$B$5)</x:f>
      </x:c>
      <x:c r="G24" s="23">
        <x:f>IF(OR(E24="",F24=""),"",E24*F24)</x:f>
      </x:c>
      <x:c r="H24" s="23">
        <x:f>IF(Assumptions!$B$6="","",Assumptions!$B$6)</x:f>
      </x:c>
      <x:c r="I24" s="23">
        <x:f>IF(OR(E24="",H24=""),"",E24*H24)</x:f>
      </x:c>
      <x:c r="J24" s="24" t="n"/>
      <x:c r="K24" s="16" t="n"/>
      <x:c r="L24" s="16" t="n"/>
      <x:c r="M24" s="16" t="n"/>
      <x:c r="N24" s="16" t="n"/>
      <x:c r="O24" s="16" t="n"/>
      <x:c r="P24" s="25">
        <x:f>IF(OR(J24="",E24=""),"",J24/E24)</x:f>
      </x:c>
      <x:c r="Q24" s="25">
        <x:f>IF(OR(J24="",G24=""),"",J24/G24)</x:f>
      </x:c>
      <x:c r="R24" s="26">
        <x:f>IF(OR(J24="",I24=""),"",J24/I24)</x:f>
      </x:c>
      <x:c r="S24" s="19" t="str">
        <x:f>IF(COUNTA(J24:L24)=0,"Pending",IF(COUNTA(J24:L24)&lt;3,"Partial","Complete"))</x:f>
        <x:v>Pending</x:v>
      </x:c>
    </x:row>
    <x:row r="25" ht="22" customHeight="1">
      <x:c r="A25" s="13" t="inlineStr">
        <x:is>
          <x:t xml:space="preserve">R022</x:t>
        </x:is>
      </x:c>
      <x:c r="B25" s="13" t="inlineStr">
        <x:is>
          <x:t xml:space="preserve">Des Moines, IA</x:t>
        </x:is>
      </x:c>
      <x:c r="C25" s="13" t="inlineStr">
        <x:is>
          <x:t xml:space="preserve">Seattle, WA</x:t>
        </x:is>
      </x:c>
      <x:c r="D25" s="13" t="inlineStr">
        <x:is>
          <x:t xml:space="preserve">5 Pallets</x:t>
        </x:is>
      </x:c>
      <x:c r="E25" s="23">
        <x:f>IF(D25="1 Pallet",1,IF(D25="5 Pallets",5,IF(D25="10 Pallets",10,IF(Assumptions!$B$7="","",Assumptions!$B$7))))</x:f>
        <x:v>5</x:v>
      </x:c>
      <x:c r="F25" s="23">
        <x:f>IF(Assumptions!$B$5="","",Assumptions!$B$5)</x:f>
      </x:c>
      <x:c r="G25" s="23">
        <x:f>IF(OR(E25="",F25=""),"",E25*F25)</x:f>
      </x:c>
      <x:c r="H25" s="23">
        <x:f>IF(Assumptions!$B$6="","",Assumptions!$B$6)</x:f>
      </x:c>
      <x:c r="I25" s="23">
        <x:f>IF(OR(E25="",H25=""),"",E25*H25)</x:f>
      </x:c>
      <x:c r="J25" s="24" t="n"/>
      <x:c r="K25" s="16" t="n"/>
      <x:c r="L25" s="16" t="n"/>
      <x:c r="M25" s="16" t="n"/>
      <x:c r="N25" s="16" t="n"/>
      <x:c r="O25" s="16" t="n"/>
      <x:c r="P25" s="25">
        <x:f>IF(OR(J25="",E25=""),"",J25/E25)</x:f>
      </x:c>
      <x:c r="Q25" s="25">
        <x:f>IF(OR(J25="",G25=""),"",J25/G25)</x:f>
      </x:c>
      <x:c r="R25" s="26">
        <x:f>IF(OR(J25="",I25=""),"",J25/I25)</x:f>
      </x:c>
      <x:c r="S25" s="19" t="str">
        <x:f>IF(COUNTA(J25:L25)=0,"Pending",IF(COUNTA(J25:L25)&lt;3,"Partial","Complete"))</x:f>
        <x:v>Pending</x:v>
      </x:c>
    </x:row>
    <x:row r="26" ht="22" customHeight="1">
      <x:c r="A26" s="13" t="inlineStr">
        <x:is>
          <x:t xml:space="preserve">R023</x:t>
        </x:is>
      </x:c>
      <x:c r="B26" s="13" t="inlineStr">
        <x:is>
          <x:t xml:space="preserve">Des Moines, IA</x:t>
        </x:is>
      </x:c>
      <x:c r="C26" s="13" t="inlineStr">
        <x:is>
          <x:t xml:space="preserve">Seattle, WA</x:t>
        </x:is>
      </x:c>
      <x:c r="D26" s="13" t="inlineStr">
        <x:is>
          <x:t xml:space="preserve">10 Pallets</x:t>
        </x:is>
      </x:c>
      <x:c r="E26" s="23">
        <x:f>IF(D26="1 Pallet",1,IF(D26="5 Pallets",5,IF(D26="10 Pallets",10,IF(Assumptions!$B$7="","",Assumptions!$B$7))))</x:f>
        <x:v>10</x:v>
      </x:c>
      <x:c r="F26" s="23">
        <x:f>IF(Assumptions!$B$5="","",Assumptions!$B$5)</x:f>
      </x:c>
      <x:c r="G26" s="23">
        <x:f>IF(OR(E26="",F26=""),"",E26*F26)</x:f>
      </x:c>
      <x:c r="H26" s="23">
        <x:f>IF(Assumptions!$B$6="","",Assumptions!$B$6)</x:f>
      </x:c>
      <x:c r="I26" s="23">
        <x:f>IF(OR(E26="",H26=""),"",E26*H26)</x:f>
      </x:c>
      <x:c r="J26" s="24" t="n"/>
      <x:c r="K26" s="16" t="n"/>
      <x:c r="L26" s="16" t="n"/>
      <x:c r="M26" s="16" t="n"/>
      <x:c r="N26" s="16" t="n"/>
      <x:c r="O26" s="16" t="n"/>
      <x:c r="P26" s="25">
        <x:f>IF(OR(J26="",E26=""),"",J26/E26)</x:f>
      </x:c>
      <x:c r="Q26" s="25">
        <x:f>IF(OR(J26="",G26=""),"",J26/G26)</x:f>
      </x:c>
      <x:c r="R26" s="26">
        <x:f>IF(OR(J26="",I26=""),"",J26/I26)</x:f>
      </x:c>
      <x:c r="S26" s="19" t="str">
        <x:f>IF(COUNTA(J26:L26)=0,"Pending",IF(COUNTA(J26:L26)&lt;3,"Partial","Complete"))</x:f>
        <x:v>Pending</x:v>
      </x:c>
    </x:row>
    <x:row r="27" ht="22" customHeight="1">
      <x:c r="A27" s="13" t="inlineStr">
        <x:is>
          <x:t xml:space="preserve">R024</x:t>
        </x:is>
      </x:c>
      <x:c r="B27" s="13" t="inlineStr">
        <x:is>
          <x:t xml:space="preserve">Des Moines, IA</x:t>
        </x:is>
      </x:c>
      <x:c r="C27" s="13" t="inlineStr">
        <x:is>
          <x:t xml:space="preserve">Seattle, WA</x:t>
        </x:is>
      </x:c>
      <x:c r="D27" s="13" t="inlineStr">
        <x:is>
          <x:t xml:space="preserve">Full Truckload</x:t>
        </x:is>
      </x:c>
      <x:c r="E27" s="23">
        <x:f>IF(D27="1 Pallet",1,IF(D27="5 Pallets",5,IF(D27="10 Pallets",10,IF(Assumptions!$B$7="","",Assumptions!$B$7))))</x:f>
        <x:v>26</x:v>
      </x:c>
      <x:c r="F27" s="23">
        <x:f>IF(Assumptions!$B$5="","",Assumptions!$B$5)</x:f>
      </x:c>
      <x:c r="G27" s="23">
        <x:f>IF(OR(E27="",F27=""),"",E27*F27)</x:f>
      </x:c>
      <x:c r="H27" s="23">
        <x:f>IF(Assumptions!$B$6="","",Assumptions!$B$6)</x:f>
      </x:c>
      <x:c r="I27" s="23">
        <x:f>IF(OR(E27="",H27=""),"",E27*H27)</x:f>
      </x:c>
      <x:c r="J27" s="24" t="n"/>
      <x:c r="K27" s="16" t="n"/>
      <x:c r="L27" s="16" t="n"/>
      <x:c r="M27" s="16" t="n"/>
      <x:c r="N27" s="16" t="n"/>
      <x:c r="O27" s="16" t="n"/>
      <x:c r="P27" s="25">
        <x:f>IF(OR(J27="",E27=""),"",J27/E27)</x:f>
      </x:c>
      <x:c r="Q27" s="25">
        <x:f>IF(OR(J27="",G27=""),"",J27/G27)</x:f>
      </x:c>
      <x:c r="R27" s="26">
        <x:f>IF(OR(J27="",I27=""),"",J27/I27)</x:f>
      </x:c>
      <x:c r="S27" s="19" t="str">
        <x:f>IF(COUNTA(J27:L27)=0,"Pending",IF(COUNTA(J27:L27)&lt;3,"Partial","Complete"))</x:f>
        <x:v>Pending</x:v>
      </x:c>
    </x:row>
    <x:row r="28" ht="22" customHeight="1">
      <x:c r="A28" s="13" t="inlineStr">
        <x:is>
          <x:t xml:space="preserve">R025</x:t>
        </x:is>
      </x:c>
      <x:c r="B28" s="13" t="inlineStr">
        <x:is>
          <x:t xml:space="preserve">TN Canning Site</x:t>
        </x:is>
      </x:c>
      <x:c r="C28" s="13" t="inlineStr">
        <x:is>
          <x:t xml:space="preserve">Salt Lake City, UT</x:t>
        </x:is>
      </x:c>
      <x:c r="D28" s="13" t="inlineStr">
        <x:is>
          <x:t xml:space="preserve">1 Pallet</x:t>
        </x:is>
      </x:c>
      <x:c r="E28" s="23">
        <x:f>IF(D28="1 Pallet",1,IF(D28="5 Pallets",5,IF(D28="10 Pallets",10,IF(Assumptions!$B$7="","",Assumptions!$B$7))))</x:f>
        <x:v>1</x:v>
      </x:c>
      <x:c r="F28" s="23">
        <x:f>IF(Assumptions!$B$5="","",Assumptions!$B$5)</x:f>
      </x:c>
      <x:c r="G28" s="23">
        <x:f>IF(OR(E28="",F28=""),"",E28*F28)</x:f>
      </x:c>
      <x:c r="H28" s="23">
        <x:f>IF(Assumptions!$B$6="","",Assumptions!$B$6)</x:f>
      </x:c>
      <x:c r="I28" s="23">
        <x:f>IF(OR(E28="",H28=""),"",E28*H28)</x:f>
      </x:c>
      <x:c r="J28" s="24" t="n"/>
      <x:c r="K28" s="16" t="n"/>
      <x:c r="L28" s="16" t="n"/>
      <x:c r="M28" s="16" t="n"/>
      <x:c r="N28" s="16" t="n"/>
      <x:c r="O28" s="16" t="n"/>
      <x:c r="P28" s="25">
        <x:f>IF(OR(J28="",E28=""),"",J28/E28)</x:f>
      </x:c>
      <x:c r="Q28" s="25">
        <x:f>IF(OR(J28="",G28=""),"",J28/G28)</x:f>
      </x:c>
      <x:c r="R28" s="26">
        <x:f>IF(OR(J28="",I28=""),"",J28/I28)</x:f>
      </x:c>
      <x:c r="S28" s="19" t="str">
        <x:f>IF(COUNTA(J28:L28)=0,"Pending",IF(COUNTA(J28:L28)&lt;3,"Partial","Complete"))</x:f>
        <x:v>Pending</x:v>
      </x:c>
    </x:row>
    <x:row r="29" ht="22" customHeight="1">
      <x:c r="A29" s="13" t="inlineStr">
        <x:is>
          <x:t xml:space="preserve">R026</x:t>
        </x:is>
      </x:c>
      <x:c r="B29" s="13" t="inlineStr">
        <x:is>
          <x:t xml:space="preserve">TN Canning Site</x:t>
        </x:is>
      </x:c>
      <x:c r="C29" s="13" t="inlineStr">
        <x:is>
          <x:t xml:space="preserve">Salt Lake City, UT</x:t>
        </x:is>
      </x:c>
      <x:c r="D29" s="13" t="inlineStr">
        <x:is>
          <x:t xml:space="preserve">5 Pallets</x:t>
        </x:is>
      </x:c>
      <x:c r="E29" s="23">
        <x:f>IF(D29="1 Pallet",1,IF(D29="5 Pallets",5,IF(D29="10 Pallets",10,IF(Assumptions!$B$7="","",Assumptions!$B$7))))</x:f>
        <x:v>5</x:v>
      </x:c>
      <x:c r="F29" s="23">
        <x:f>IF(Assumptions!$B$5="","",Assumptions!$B$5)</x:f>
      </x:c>
      <x:c r="G29" s="23">
        <x:f>IF(OR(E29="",F29=""),"",E29*F29)</x:f>
      </x:c>
      <x:c r="H29" s="23">
        <x:f>IF(Assumptions!$B$6="","",Assumptions!$B$6)</x:f>
      </x:c>
      <x:c r="I29" s="23">
        <x:f>IF(OR(E29="",H29=""),"",E29*H29)</x:f>
      </x:c>
      <x:c r="J29" s="24" t="n"/>
      <x:c r="K29" s="16" t="n"/>
      <x:c r="L29" s="16" t="n"/>
      <x:c r="M29" s="16" t="n"/>
      <x:c r="N29" s="16" t="n"/>
      <x:c r="O29" s="16" t="n"/>
      <x:c r="P29" s="25">
        <x:f>IF(OR(J29="",E29=""),"",J29/E29)</x:f>
      </x:c>
      <x:c r="Q29" s="25">
        <x:f>IF(OR(J29="",G29=""),"",J29/G29)</x:f>
      </x:c>
      <x:c r="R29" s="26">
        <x:f>IF(OR(J29="",I29=""),"",J29/I29)</x:f>
      </x:c>
      <x:c r="S29" s="19" t="str">
        <x:f>IF(COUNTA(J29:L29)=0,"Pending",IF(COUNTA(J29:L29)&lt;3,"Partial","Complete"))</x:f>
        <x:v>Pending</x:v>
      </x:c>
    </x:row>
    <x:row r="30" ht="22" customHeight="1">
      <x:c r="A30" s="13" t="inlineStr">
        <x:is>
          <x:t xml:space="preserve">R027</x:t>
        </x:is>
      </x:c>
      <x:c r="B30" s="13" t="inlineStr">
        <x:is>
          <x:t xml:space="preserve">TN Canning Site</x:t>
        </x:is>
      </x:c>
      <x:c r="C30" s="13" t="inlineStr">
        <x:is>
          <x:t xml:space="preserve">Salt Lake City, UT</x:t>
        </x:is>
      </x:c>
      <x:c r="D30" s="13" t="inlineStr">
        <x:is>
          <x:t xml:space="preserve">10 Pallets</x:t>
        </x:is>
      </x:c>
      <x:c r="E30" s="23">
        <x:f>IF(D30="1 Pallet",1,IF(D30="5 Pallets",5,IF(D30="10 Pallets",10,IF(Assumptions!$B$7="","",Assumptions!$B$7))))</x:f>
        <x:v>10</x:v>
      </x:c>
      <x:c r="F30" s="23">
        <x:f>IF(Assumptions!$B$5="","",Assumptions!$B$5)</x:f>
      </x:c>
      <x:c r="G30" s="23">
        <x:f>IF(OR(E30="",F30=""),"",E30*F30)</x:f>
      </x:c>
      <x:c r="H30" s="23">
        <x:f>IF(Assumptions!$B$6="","",Assumptions!$B$6)</x:f>
      </x:c>
      <x:c r="I30" s="23">
        <x:f>IF(OR(E30="",H30=""),"",E30*H30)</x:f>
      </x:c>
      <x:c r="J30" s="24" t="n"/>
      <x:c r="K30" s="16" t="n"/>
      <x:c r="L30" s="16" t="n"/>
      <x:c r="M30" s="16" t="n"/>
      <x:c r="N30" s="16" t="n"/>
      <x:c r="O30" s="16" t="n"/>
      <x:c r="P30" s="25">
        <x:f>IF(OR(J30="",E30=""),"",J30/E30)</x:f>
      </x:c>
      <x:c r="Q30" s="25">
        <x:f>IF(OR(J30="",G30=""),"",J30/G30)</x:f>
      </x:c>
      <x:c r="R30" s="26">
        <x:f>IF(OR(J30="",I30=""),"",J30/I30)</x:f>
      </x:c>
      <x:c r="S30" s="19" t="str">
        <x:f>IF(COUNTA(J30:L30)=0,"Pending",IF(COUNTA(J30:L30)&lt;3,"Partial","Complete"))</x:f>
        <x:v>Pending</x:v>
      </x:c>
    </x:row>
    <x:row r="31" ht="22" customHeight="1">
      <x:c r="A31" s="13" t="inlineStr">
        <x:is>
          <x:t xml:space="preserve">R028</x:t>
        </x:is>
      </x:c>
      <x:c r="B31" s="13" t="inlineStr">
        <x:is>
          <x:t xml:space="preserve">TN Canning Site</x:t>
        </x:is>
      </x:c>
      <x:c r="C31" s="13" t="inlineStr">
        <x:is>
          <x:t xml:space="preserve">Salt Lake City, UT</x:t>
        </x:is>
      </x:c>
      <x:c r="D31" s="13" t="inlineStr">
        <x:is>
          <x:t xml:space="preserve">Full Truckload</x:t>
        </x:is>
      </x:c>
      <x:c r="E31" s="23">
        <x:f>IF(D31="1 Pallet",1,IF(D31="5 Pallets",5,IF(D31="10 Pallets",10,IF(Assumptions!$B$7="","",Assumptions!$B$7))))</x:f>
        <x:v>26</x:v>
      </x:c>
      <x:c r="F31" s="23">
        <x:f>IF(Assumptions!$B$5="","",Assumptions!$B$5)</x:f>
      </x:c>
      <x:c r="G31" s="23">
        <x:f>IF(OR(E31="",F31=""),"",E31*F31)</x:f>
      </x:c>
      <x:c r="H31" s="23">
        <x:f>IF(Assumptions!$B$6="","",Assumptions!$B$6)</x:f>
      </x:c>
      <x:c r="I31" s="23">
        <x:f>IF(OR(E31="",H31=""),"",E31*H31)</x:f>
      </x:c>
      <x:c r="J31" s="24" t="n"/>
      <x:c r="K31" s="16" t="n"/>
      <x:c r="L31" s="16" t="n"/>
      <x:c r="M31" s="16" t="n"/>
      <x:c r="N31" s="16" t="n"/>
      <x:c r="O31" s="16" t="n"/>
      <x:c r="P31" s="25">
        <x:f>IF(OR(J31="",E31=""),"",J31/E31)</x:f>
      </x:c>
      <x:c r="Q31" s="25">
        <x:f>IF(OR(J31="",G31=""),"",J31/G31)</x:f>
      </x:c>
      <x:c r="R31" s="26">
        <x:f>IF(OR(J31="",I31=""),"",J31/I31)</x:f>
      </x:c>
      <x:c r="S31" s="19" t="str">
        <x:f>IF(COUNTA(J31:L31)=0,"Pending",IF(COUNTA(J31:L31)&lt;3,"Partial","Complete"))</x:f>
        <x:v>Pending</x:v>
      </x:c>
    </x:row>
    <x:row r="32" ht="22" customHeight="1">
      <x:c r="A32" s="13" t="inlineStr">
        <x:is>
          <x:t xml:space="preserve">R029</x:t>
        </x:is>
      </x:c>
      <x:c r="B32" s="13" t="inlineStr">
        <x:is>
          <x:t xml:space="preserve">TN Canning Site</x:t>
        </x:is>
      </x:c>
      <x:c r="C32" s="13" t="inlineStr">
        <x:is>
          <x:t xml:space="preserve">Los Angeles, CA</x:t>
        </x:is>
      </x:c>
      <x:c r="D32" s="13" t="inlineStr">
        <x:is>
          <x:t xml:space="preserve">1 Pallet</x:t>
        </x:is>
      </x:c>
      <x:c r="E32" s="23">
        <x:f>IF(D32="1 Pallet",1,IF(D32="5 Pallets",5,IF(D32="10 Pallets",10,IF(Assumptions!$B$7="","",Assumptions!$B$7))))</x:f>
        <x:v>1</x:v>
      </x:c>
      <x:c r="F32" s="23">
        <x:f>IF(Assumptions!$B$5="","",Assumptions!$B$5)</x:f>
      </x:c>
      <x:c r="G32" s="23">
        <x:f>IF(OR(E32="",F32=""),"",E32*F32)</x:f>
      </x:c>
      <x:c r="H32" s="23">
        <x:f>IF(Assumptions!$B$6="","",Assumptions!$B$6)</x:f>
      </x:c>
      <x:c r="I32" s="23">
        <x:f>IF(OR(E32="",H32=""),"",E32*H32)</x:f>
      </x:c>
      <x:c r="J32" s="24" t="n"/>
      <x:c r="K32" s="16" t="n"/>
      <x:c r="L32" s="16" t="n"/>
      <x:c r="M32" s="16" t="n"/>
      <x:c r="N32" s="16" t="n"/>
      <x:c r="O32" s="16" t="n"/>
      <x:c r="P32" s="25">
        <x:f>IF(OR(J32="",E32=""),"",J32/E32)</x:f>
      </x:c>
      <x:c r="Q32" s="25">
        <x:f>IF(OR(J32="",G32=""),"",J32/G32)</x:f>
      </x:c>
      <x:c r="R32" s="26">
        <x:f>IF(OR(J32="",I32=""),"",J32/I32)</x:f>
      </x:c>
      <x:c r="S32" s="19" t="str">
        <x:f>IF(COUNTA(J32:L32)=0,"Pending",IF(COUNTA(J32:L32)&lt;3,"Partial","Complete"))</x:f>
        <x:v>Pending</x:v>
      </x:c>
    </x:row>
    <x:row r="33" ht="22" customHeight="1">
      <x:c r="A33" s="13" t="inlineStr">
        <x:is>
          <x:t xml:space="preserve">R030</x:t>
        </x:is>
      </x:c>
      <x:c r="B33" s="13" t="inlineStr">
        <x:is>
          <x:t xml:space="preserve">TN Canning Site</x:t>
        </x:is>
      </x:c>
      <x:c r="C33" s="13" t="inlineStr">
        <x:is>
          <x:t xml:space="preserve">Los Angeles, CA</x:t>
        </x:is>
      </x:c>
      <x:c r="D33" s="13" t="inlineStr">
        <x:is>
          <x:t xml:space="preserve">5 Pallets</x:t>
        </x:is>
      </x:c>
      <x:c r="E33" s="23">
        <x:f>IF(D33="1 Pallet",1,IF(D33="5 Pallets",5,IF(D33="10 Pallets",10,IF(Assumptions!$B$7="","",Assumptions!$B$7))))</x:f>
        <x:v>5</x:v>
      </x:c>
      <x:c r="F33" s="23">
        <x:f>IF(Assumptions!$B$5="","",Assumptions!$B$5)</x:f>
      </x:c>
      <x:c r="G33" s="23">
        <x:f>IF(OR(E33="",F33=""),"",E33*F33)</x:f>
      </x:c>
      <x:c r="H33" s="23">
        <x:f>IF(Assumptions!$B$6="","",Assumptions!$B$6)</x:f>
      </x:c>
      <x:c r="I33" s="23">
        <x:f>IF(OR(E33="",H33=""),"",E33*H33)</x:f>
      </x:c>
      <x:c r="J33" s="24" t="n"/>
      <x:c r="K33" s="16" t="n"/>
      <x:c r="L33" s="16" t="n"/>
      <x:c r="M33" s="16" t="n"/>
      <x:c r="N33" s="16" t="n"/>
      <x:c r="O33" s="16" t="n"/>
      <x:c r="P33" s="25">
        <x:f>IF(OR(J33="",E33=""),"",J33/E33)</x:f>
      </x:c>
      <x:c r="Q33" s="25">
        <x:f>IF(OR(J33="",G33=""),"",J33/G33)</x:f>
      </x:c>
      <x:c r="R33" s="26">
        <x:f>IF(OR(J33="",I33=""),"",J33/I33)</x:f>
      </x:c>
      <x:c r="S33" s="19" t="str">
        <x:f>IF(COUNTA(J33:L33)=0,"Pending",IF(COUNTA(J33:L33)&lt;3,"Partial","Complete"))</x:f>
        <x:v>Pending</x:v>
      </x:c>
    </x:row>
    <x:row r="34" ht="22" customHeight="1">
      <x:c r="A34" s="13" t="inlineStr">
        <x:is>
          <x:t xml:space="preserve">R031</x:t>
        </x:is>
      </x:c>
      <x:c r="B34" s="13" t="inlineStr">
        <x:is>
          <x:t xml:space="preserve">TN Canning Site</x:t>
        </x:is>
      </x:c>
      <x:c r="C34" s="13" t="inlineStr">
        <x:is>
          <x:t xml:space="preserve">Los Angeles, CA</x:t>
        </x:is>
      </x:c>
      <x:c r="D34" s="13" t="inlineStr">
        <x:is>
          <x:t xml:space="preserve">10 Pallets</x:t>
        </x:is>
      </x:c>
      <x:c r="E34" s="23">
        <x:f>IF(D34="1 Pallet",1,IF(D34="5 Pallets",5,IF(D34="10 Pallets",10,IF(Assumptions!$B$7="","",Assumptions!$B$7))))</x:f>
        <x:v>10</x:v>
      </x:c>
      <x:c r="F34" s="23">
        <x:f>IF(Assumptions!$B$5="","",Assumptions!$B$5)</x:f>
      </x:c>
      <x:c r="G34" s="23">
        <x:f>IF(OR(E34="",F34=""),"",E34*F34)</x:f>
      </x:c>
      <x:c r="H34" s="23">
        <x:f>IF(Assumptions!$B$6="","",Assumptions!$B$6)</x:f>
      </x:c>
      <x:c r="I34" s="23">
        <x:f>IF(OR(E34="",H34=""),"",E34*H34)</x:f>
      </x:c>
      <x:c r="J34" s="24" t="n"/>
      <x:c r="K34" s="16" t="n"/>
      <x:c r="L34" s="16" t="n"/>
      <x:c r="M34" s="16" t="n"/>
      <x:c r="N34" s="16" t="n"/>
      <x:c r="O34" s="16" t="n"/>
      <x:c r="P34" s="25">
        <x:f>IF(OR(J34="",E34=""),"",J34/E34)</x:f>
      </x:c>
      <x:c r="Q34" s="25">
        <x:f>IF(OR(J34="",G34=""),"",J34/G34)</x:f>
      </x:c>
      <x:c r="R34" s="26">
        <x:f>IF(OR(J34="",I34=""),"",J34/I34)</x:f>
      </x:c>
      <x:c r="S34" s="19" t="str">
        <x:f>IF(COUNTA(J34:L34)=0,"Pending",IF(COUNTA(J34:L34)&lt;3,"Partial","Complete"))</x:f>
        <x:v>Pending</x:v>
      </x:c>
    </x:row>
    <x:row r="35" ht="22" customHeight="1">
      <x:c r="A35" s="13" t="inlineStr">
        <x:is>
          <x:t xml:space="preserve">R032</x:t>
        </x:is>
      </x:c>
      <x:c r="B35" s="13" t="inlineStr">
        <x:is>
          <x:t xml:space="preserve">TN Canning Site</x:t>
        </x:is>
      </x:c>
      <x:c r="C35" s="13" t="inlineStr">
        <x:is>
          <x:t xml:space="preserve">Los Angeles, CA</x:t>
        </x:is>
      </x:c>
      <x:c r="D35" s="13" t="inlineStr">
        <x:is>
          <x:t xml:space="preserve">Full Truckload</x:t>
        </x:is>
      </x:c>
      <x:c r="E35" s="23">
        <x:f>IF(D35="1 Pallet",1,IF(D35="5 Pallets",5,IF(D35="10 Pallets",10,IF(Assumptions!$B$7="","",Assumptions!$B$7))))</x:f>
        <x:v>26</x:v>
      </x:c>
      <x:c r="F35" s="23">
        <x:f>IF(Assumptions!$B$5="","",Assumptions!$B$5)</x:f>
      </x:c>
      <x:c r="G35" s="23">
        <x:f>IF(OR(E35="",F35=""),"",E35*F35)</x:f>
      </x:c>
      <x:c r="H35" s="23">
        <x:f>IF(Assumptions!$B$6="","",Assumptions!$B$6)</x:f>
      </x:c>
      <x:c r="I35" s="23">
        <x:f>IF(OR(E35="",H35=""),"",E35*H35)</x:f>
      </x:c>
      <x:c r="J35" s="24" t="n"/>
      <x:c r="K35" s="16" t="n"/>
      <x:c r="L35" s="16" t="n"/>
      <x:c r="M35" s="16" t="n"/>
      <x:c r="N35" s="16" t="n"/>
      <x:c r="O35" s="16" t="n"/>
      <x:c r="P35" s="25">
        <x:f>IF(OR(J35="",E35=""),"",J35/E35)</x:f>
      </x:c>
      <x:c r="Q35" s="25">
        <x:f>IF(OR(J35="",G35=""),"",J35/G35)</x:f>
      </x:c>
      <x:c r="R35" s="26">
        <x:f>IF(OR(J35="",I35=""),"",J35/I35)</x:f>
      </x:c>
      <x:c r="S35" s="19" t="str">
        <x:f>IF(COUNTA(J35:L35)=0,"Pending",IF(COUNTA(J35:L35)&lt;3,"Partial","Complete"))</x:f>
        <x:v>Pending</x:v>
      </x:c>
    </x:row>
    <x:row r="36" ht="22" customHeight="1">
      <x:c r="A36" s="13" t="inlineStr">
        <x:is>
          <x:t xml:space="preserve">R033</x:t>
        </x:is>
      </x:c>
      <x:c r="B36" s="13" t="inlineStr">
        <x:is>
          <x:t xml:space="preserve">TN Canning Site</x:t>
        </x:is>
      </x:c>
      <x:c r="C36" s="13" t="inlineStr">
        <x:is>
          <x:t xml:space="preserve">New York, NY</x:t>
        </x:is>
      </x:c>
      <x:c r="D36" s="13" t="inlineStr">
        <x:is>
          <x:t xml:space="preserve">1 Pallet</x:t>
        </x:is>
      </x:c>
      <x:c r="E36" s="23">
        <x:f>IF(D36="1 Pallet",1,IF(D36="5 Pallets",5,IF(D36="10 Pallets",10,IF(Assumptions!$B$7="","",Assumptions!$B$7))))</x:f>
        <x:v>1</x:v>
      </x:c>
      <x:c r="F36" s="23">
        <x:f>IF(Assumptions!$B$5="","",Assumptions!$B$5)</x:f>
      </x:c>
      <x:c r="G36" s="23">
        <x:f>IF(OR(E36="",F36=""),"",E36*F36)</x:f>
      </x:c>
      <x:c r="H36" s="23">
        <x:f>IF(Assumptions!$B$6="","",Assumptions!$B$6)</x:f>
      </x:c>
      <x:c r="I36" s="23">
        <x:f>IF(OR(E36="",H36=""),"",E36*H36)</x:f>
      </x:c>
      <x:c r="J36" s="24" t="n"/>
      <x:c r="K36" s="16" t="n"/>
      <x:c r="L36" s="16" t="n"/>
      <x:c r="M36" s="16" t="n"/>
      <x:c r="N36" s="16" t="n"/>
      <x:c r="O36" s="16" t="n"/>
      <x:c r="P36" s="25">
        <x:f>IF(OR(J36="",E36=""),"",J36/E36)</x:f>
      </x:c>
      <x:c r="Q36" s="25">
        <x:f>IF(OR(J36="",G36=""),"",J36/G36)</x:f>
      </x:c>
      <x:c r="R36" s="26">
        <x:f>IF(OR(J36="",I36=""),"",J36/I36)</x:f>
      </x:c>
      <x:c r="S36" s="19" t="str">
        <x:f>IF(COUNTA(J36:L36)=0,"Pending",IF(COUNTA(J36:L36)&lt;3,"Partial","Complete"))</x:f>
        <x:v>Pending</x:v>
      </x:c>
    </x:row>
    <x:row r="37" ht="22" customHeight="1">
      <x:c r="A37" s="13" t="inlineStr">
        <x:is>
          <x:t xml:space="preserve">R034</x:t>
        </x:is>
      </x:c>
      <x:c r="B37" s="13" t="inlineStr">
        <x:is>
          <x:t xml:space="preserve">TN Canning Site</x:t>
        </x:is>
      </x:c>
      <x:c r="C37" s="13" t="inlineStr">
        <x:is>
          <x:t xml:space="preserve">New York, NY</x:t>
        </x:is>
      </x:c>
      <x:c r="D37" s="13" t="inlineStr">
        <x:is>
          <x:t xml:space="preserve">5 Pallets</x:t>
        </x:is>
      </x:c>
      <x:c r="E37" s="23">
        <x:f>IF(D37="1 Pallet",1,IF(D37="5 Pallets",5,IF(D37="10 Pallets",10,IF(Assumptions!$B$7="","",Assumptions!$B$7))))</x:f>
        <x:v>5</x:v>
      </x:c>
      <x:c r="F37" s="23">
        <x:f>IF(Assumptions!$B$5="","",Assumptions!$B$5)</x:f>
      </x:c>
      <x:c r="G37" s="23">
        <x:f>IF(OR(E37="",F37=""),"",E37*F37)</x:f>
      </x:c>
      <x:c r="H37" s="23">
        <x:f>IF(Assumptions!$B$6="","",Assumptions!$B$6)</x:f>
      </x:c>
      <x:c r="I37" s="23">
        <x:f>IF(OR(E37="",H37=""),"",E37*H37)</x:f>
      </x:c>
      <x:c r="J37" s="24" t="n"/>
      <x:c r="K37" s="16" t="n"/>
      <x:c r="L37" s="16" t="n"/>
      <x:c r="M37" s="16" t="n"/>
      <x:c r="N37" s="16" t="n"/>
      <x:c r="O37" s="16" t="n"/>
      <x:c r="P37" s="25">
        <x:f>IF(OR(J37="",E37=""),"",J37/E37)</x:f>
      </x:c>
      <x:c r="Q37" s="25">
        <x:f>IF(OR(J37="",G37=""),"",J37/G37)</x:f>
      </x:c>
      <x:c r="R37" s="26">
        <x:f>IF(OR(J37="",I37=""),"",J37/I37)</x:f>
      </x:c>
      <x:c r="S37" s="19" t="str">
        <x:f>IF(COUNTA(J37:L37)=0,"Pending",IF(COUNTA(J37:L37)&lt;3,"Partial","Complete"))</x:f>
        <x:v>Pending</x:v>
      </x:c>
    </x:row>
    <x:row r="38" ht="22" customHeight="1">
      <x:c r="A38" s="13" t="inlineStr">
        <x:is>
          <x:t xml:space="preserve">R035</x:t>
        </x:is>
      </x:c>
      <x:c r="B38" s="13" t="inlineStr">
        <x:is>
          <x:t xml:space="preserve">TN Canning Site</x:t>
        </x:is>
      </x:c>
      <x:c r="C38" s="13" t="inlineStr">
        <x:is>
          <x:t xml:space="preserve">New York, NY</x:t>
        </x:is>
      </x:c>
      <x:c r="D38" s="13" t="inlineStr">
        <x:is>
          <x:t xml:space="preserve">10 Pallets</x:t>
        </x:is>
      </x:c>
      <x:c r="E38" s="23">
        <x:f>IF(D38="1 Pallet",1,IF(D38="5 Pallets",5,IF(D38="10 Pallets",10,IF(Assumptions!$B$7="","",Assumptions!$B$7))))</x:f>
        <x:v>10</x:v>
      </x:c>
      <x:c r="F38" s="23">
        <x:f>IF(Assumptions!$B$5="","",Assumptions!$B$5)</x:f>
      </x:c>
      <x:c r="G38" s="23">
        <x:f>IF(OR(E38="",F38=""),"",E38*F38)</x:f>
      </x:c>
      <x:c r="H38" s="23">
        <x:f>IF(Assumptions!$B$6="","",Assumptions!$B$6)</x:f>
      </x:c>
      <x:c r="I38" s="23">
        <x:f>IF(OR(E38="",H38=""),"",E38*H38)</x:f>
      </x:c>
      <x:c r="J38" s="24" t="n"/>
      <x:c r="K38" s="16" t="n"/>
      <x:c r="L38" s="16" t="n"/>
      <x:c r="M38" s="16" t="n"/>
      <x:c r="N38" s="16" t="n"/>
      <x:c r="O38" s="16" t="n"/>
      <x:c r="P38" s="25">
        <x:f>IF(OR(J38="",E38=""),"",J38/E38)</x:f>
      </x:c>
      <x:c r="Q38" s="25">
        <x:f>IF(OR(J38="",G38=""),"",J38/G38)</x:f>
      </x:c>
      <x:c r="R38" s="26">
        <x:f>IF(OR(J38="",I38=""),"",J38/I38)</x:f>
      </x:c>
      <x:c r="S38" s="19" t="str">
        <x:f>IF(COUNTA(J38:L38)=0,"Pending",IF(COUNTA(J38:L38)&lt;3,"Partial","Complete"))</x:f>
        <x:v>Pending</x:v>
      </x:c>
    </x:row>
    <x:row r="39" ht="22" customHeight="1">
      <x:c r="A39" s="13" t="inlineStr">
        <x:is>
          <x:t xml:space="preserve">R036</x:t>
        </x:is>
      </x:c>
      <x:c r="B39" s="13" t="inlineStr">
        <x:is>
          <x:t xml:space="preserve">TN Canning Site</x:t>
        </x:is>
      </x:c>
      <x:c r="C39" s="13" t="inlineStr">
        <x:is>
          <x:t xml:space="preserve">New York, NY</x:t>
        </x:is>
      </x:c>
      <x:c r="D39" s="13" t="inlineStr">
        <x:is>
          <x:t xml:space="preserve">Full Truckload</x:t>
        </x:is>
      </x:c>
      <x:c r="E39" s="23">
        <x:f>IF(D39="1 Pallet",1,IF(D39="5 Pallets",5,IF(D39="10 Pallets",10,IF(Assumptions!$B$7="","",Assumptions!$B$7))))</x:f>
        <x:v>26</x:v>
      </x:c>
      <x:c r="F39" s="23">
        <x:f>IF(Assumptions!$B$5="","",Assumptions!$B$5)</x:f>
      </x:c>
      <x:c r="G39" s="23">
        <x:f>IF(OR(E39="",F39=""),"",E39*F39)</x:f>
      </x:c>
      <x:c r="H39" s="23">
        <x:f>IF(Assumptions!$B$6="","",Assumptions!$B$6)</x:f>
      </x:c>
      <x:c r="I39" s="23">
        <x:f>IF(OR(E39="",H39=""),"",E39*H39)</x:f>
      </x:c>
      <x:c r="J39" s="24" t="n"/>
      <x:c r="K39" s="16" t="n"/>
      <x:c r="L39" s="16" t="n"/>
      <x:c r="M39" s="16" t="n"/>
      <x:c r="N39" s="16" t="n"/>
      <x:c r="O39" s="16" t="n"/>
      <x:c r="P39" s="25">
        <x:f>IF(OR(J39="",E39=""),"",J39/E39)</x:f>
      </x:c>
      <x:c r="Q39" s="25">
        <x:f>IF(OR(J39="",G39=""),"",J39/G39)</x:f>
      </x:c>
      <x:c r="R39" s="26">
        <x:f>IF(OR(J39="",I39=""),"",J39/I39)</x:f>
      </x:c>
      <x:c r="S39" s="19" t="str">
        <x:f>IF(COUNTA(J39:L39)=0,"Pending",IF(COUNTA(J39:L39)&lt;3,"Partial","Complete"))</x:f>
        <x:v>Pending</x:v>
      </x:c>
    </x:row>
    <x:row r="40" ht="22" customHeight="1">
      <x:c r="A40" s="13" t="inlineStr">
        <x:is>
          <x:t xml:space="preserve">R037</x:t>
        </x:is>
      </x:c>
      <x:c r="B40" s="13" t="inlineStr">
        <x:is>
          <x:t xml:space="preserve">TN Canning Site</x:t>
        </x:is>
      </x:c>
      <x:c r="C40" s="13" t="inlineStr">
        <x:is>
          <x:t xml:space="preserve">Boston, MA</x:t>
        </x:is>
      </x:c>
      <x:c r="D40" s="13" t="inlineStr">
        <x:is>
          <x:t xml:space="preserve">1 Pallet</x:t>
        </x:is>
      </x:c>
      <x:c r="E40" s="23">
        <x:f>IF(D40="1 Pallet",1,IF(D40="5 Pallets",5,IF(D40="10 Pallets",10,IF(Assumptions!$B$7="","",Assumptions!$B$7))))</x:f>
        <x:v>1</x:v>
      </x:c>
      <x:c r="F40" s="23">
        <x:f>IF(Assumptions!$B$5="","",Assumptions!$B$5)</x:f>
      </x:c>
      <x:c r="G40" s="23">
        <x:f>IF(OR(E40="",F40=""),"",E40*F40)</x:f>
      </x:c>
      <x:c r="H40" s="23">
        <x:f>IF(Assumptions!$B$6="","",Assumptions!$B$6)</x:f>
      </x:c>
      <x:c r="I40" s="23">
        <x:f>IF(OR(E40="",H40=""),"",E40*H40)</x:f>
      </x:c>
      <x:c r="J40" s="24" t="n"/>
      <x:c r="K40" s="16" t="n"/>
      <x:c r="L40" s="16" t="n"/>
      <x:c r="M40" s="16" t="n"/>
      <x:c r="N40" s="16" t="n"/>
      <x:c r="O40" s="16" t="n"/>
      <x:c r="P40" s="25">
        <x:f>IF(OR(J40="",E40=""),"",J40/E40)</x:f>
      </x:c>
      <x:c r="Q40" s="25">
        <x:f>IF(OR(J40="",G40=""),"",J40/G40)</x:f>
      </x:c>
      <x:c r="R40" s="26">
        <x:f>IF(OR(J40="",I40=""),"",J40/I40)</x:f>
      </x:c>
      <x:c r="S40" s="19" t="str">
        <x:f>IF(COUNTA(J40:L40)=0,"Pending",IF(COUNTA(J40:L40)&lt;3,"Partial","Complete"))</x:f>
        <x:v>Pending</x:v>
      </x:c>
    </x:row>
    <x:row r="41" ht="22" customHeight="1">
      <x:c r="A41" s="13" t="inlineStr">
        <x:is>
          <x:t xml:space="preserve">R038</x:t>
        </x:is>
      </x:c>
      <x:c r="B41" s="13" t="inlineStr">
        <x:is>
          <x:t xml:space="preserve">TN Canning Site</x:t>
        </x:is>
      </x:c>
      <x:c r="C41" s="13" t="inlineStr">
        <x:is>
          <x:t xml:space="preserve">Boston, MA</x:t>
        </x:is>
      </x:c>
      <x:c r="D41" s="13" t="inlineStr">
        <x:is>
          <x:t xml:space="preserve">5 Pallets</x:t>
        </x:is>
      </x:c>
      <x:c r="E41" s="23">
        <x:f>IF(D41="1 Pallet",1,IF(D41="5 Pallets",5,IF(D41="10 Pallets",10,IF(Assumptions!$B$7="","",Assumptions!$B$7))))</x:f>
        <x:v>5</x:v>
      </x:c>
      <x:c r="F41" s="23">
        <x:f>IF(Assumptions!$B$5="","",Assumptions!$B$5)</x:f>
      </x:c>
      <x:c r="G41" s="23">
        <x:f>IF(OR(E41="",F41=""),"",E41*F41)</x:f>
      </x:c>
      <x:c r="H41" s="23">
        <x:f>IF(Assumptions!$B$6="","",Assumptions!$B$6)</x:f>
      </x:c>
      <x:c r="I41" s="23">
        <x:f>IF(OR(E41="",H41=""),"",E41*H41)</x:f>
      </x:c>
      <x:c r="J41" s="24" t="n"/>
      <x:c r="K41" s="16" t="n"/>
      <x:c r="L41" s="16" t="n"/>
      <x:c r="M41" s="16" t="n"/>
      <x:c r="N41" s="16" t="n"/>
      <x:c r="O41" s="16" t="n"/>
      <x:c r="P41" s="25">
        <x:f>IF(OR(J41="",E41=""),"",J41/E41)</x:f>
      </x:c>
      <x:c r="Q41" s="25">
        <x:f>IF(OR(J41="",G41=""),"",J41/G41)</x:f>
      </x:c>
      <x:c r="R41" s="26">
        <x:f>IF(OR(J41="",I41=""),"",J41/I41)</x:f>
      </x:c>
      <x:c r="S41" s="19" t="str">
        <x:f>IF(COUNTA(J41:L41)=0,"Pending",IF(COUNTA(J41:L41)&lt;3,"Partial","Complete"))</x:f>
        <x:v>Pending</x:v>
      </x:c>
    </x:row>
    <x:row r="42" ht="22" customHeight="1">
      <x:c r="A42" s="13" t="inlineStr">
        <x:is>
          <x:t xml:space="preserve">R039</x:t>
        </x:is>
      </x:c>
      <x:c r="B42" s="13" t="inlineStr">
        <x:is>
          <x:t xml:space="preserve">TN Canning Site</x:t>
        </x:is>
      </x:c>
      <x:c r="C42" s="13" t="inlineStr">
        <x:is>
          <x:t xml:space="preserve">Boston, MA</x:t>
        </x:is>
      </x:c>
      <x:c r="D42" s="13" t="inlineStr">
        <x:is>
          <x:t xml:space="preserve">10 Pallets</x:t>
        </x:is>
      </x:c>
      <x:c r="E42" s="23">
        <x:f>IF(D42="1 Pallet",1,IF(D42="5 Pallets",5,IF(D42="10 Pallets",10,IF(Assumptions!$B$7="","",Assumptions!$B$7))))</x:f>
        <x:v>10</x:v>
      </x:c>
      <x:c r="F42" s="23">
        <x:f>IF(Assumptions!$B$5="","",Assumptions!$B$5)</x:f>
      </x:c>
      <x:c r="G42" s="23">
        <x:f>IF(OR(E42="",F42=""),"",E42*F42)</x:f>
      </x:c>
      <x:c r="H42" s="23">
        <x:f>IF(Assumptions!$B$6="","",Assumptions!$B$6)</x:f>
      </x:c>
      <x:c r="I42" s="23">
        <x:f>IF(OR(E42="",H42=""),"",E42*H42)</x:f>
      </x:c>
      <x:c r="J42" s="24" t="n"/>
      <x:c r="K42" s="16" t="n"/>
      <x:c r="L42" s="16" t="n"/>
      <x:c r="M42" s="16" t="n"/>
      <x:c r="N42" s="16" t="n"/>
      <x:c r="O42" s="16" t="n"/>
      <x:c r="P42" s="25">
        <x:f>IF(OR(J42="",E42=""),"",J42/E42)</x:f>
      </x:c>
      <x:c r="Q42" s="25">
        <x:f>IF(OR(J42="",G42=""),"",J42/G42)</x:f>
      </x:c>
      <x:c r="R42" s="26">
        <x:f>IF(OR(J42="",I42=""),"",J42/I42)</x:f>
      </x:c>
      <x:c r="S42" s="19" t="str">
        <x:f>IF(COUNTA(J42:L42)=0,"Pending",IF(COUNTA(J42:L42)&lt;3,"Partial","Complete"))</x:f>
        <x:v>Pending</x:v>
      </x:c>
    </x:row>
    <x:row r="43" ht="22" customHeight="1">
      <x:c r="A43" s="13" t="inlineStr">
        <x:is>
          <x:t xml:space="preserve">R040</x:t>
        </x:is>
      </x:c>
      <x:c r="B43" s="13" t="inlineStr">
        <x:is>
          <x:t xml:space="preserve">TN Canning Site</x:t>
        </x:is>
      </x:c>
      <x:c r="C43" s="13" t="inlineStr">
        <x:is>
          <x:t xml:space="preserve">Boston, MA</x:t>
        </x:is>
      </x:c>
      <x:c r="D43" s="13" t="inlineStr">
        <x:is>
          <x:t xml:space="preserve">Full Truckload</x:t>
        </x:is>
      </x:c>
      <x:c r="E43" s="23">
        <x:f>IF(D43="1 Pallet",1,IF(D43="5 Pallets",5,IF(D43="10 Pallets",10,IF(Assumptions!$B$7="","",Assumptions!$B$7))))</x:f>
        <x:v>26</x:v>
      </x:c>
      <x:c r="F43" s="23">
        <x:f>IF(Assumptions!$B$5="","",Assumptions!$B$5)</x:f>
      </x:c>
      <x:c r="G43" s="23">
        <x:f>IF(OR(E43="",F43=""),"",E43*F43)</x:f>
      </x:c>
      <x:c r="H43" s="23">
        <x:f>IF(Assumptions!$B$6="","",Assumptions!$B$6)</x:f>
      </x:c>
      <x:c r="I43" s="23">
        <x:f>IF(OR(E43="",H43=""),"",E43*H43)</x:f>
      </x:c>
      <x:c r="J43" s="24" t="n"/>
      <x:c r="K43" s="16" t="n"/>
      <x:c r="L43" s="16" t="n"/>
      <x:c r="M43" s="16" t="n"/>
      <x:c r="N43" s="16" t="n"/>
      <x:c r="O43" s="16" t="n"/>
      <x:c r="P43" s="25">
        <x:f>IF(OR(J43="",E43=""),"",J43/E43)</x:f>
      </x:c>
      <x:c r="Q43" s="25">
        <x:f>IF(OR(J43="",G43=""),"",J43/G43)</x:f>
      </x:c>
      <x:c r="R43" s="26">
        <x:f>IF(OR(J43="",I43=""),"",J43/I43)</x:f>
      </x:c>
      <x:c r="S43" s="19" t="str">
        <x:f>IF(COUNTA(J43:L43)=0,"Pending",IF(COUNTA(J43:L43)&lt;3,"Partial","Complete"))</x:f>
        <x:v>Pending</x:v>
      </x:c>
    </x:row>
    <x:row r="44" ht="22" customHeight="1">
      <x:c r="A44" s="13" t="inlineStr">
        <x:is>
          <x:t xml:space="preserve">R041</x:t>
        </x:is>
      </x:c>
      <x:c r="B44" s="13" t="inlineStr">
        <x:is>
          <x:t xml:space="preserve">TN Canning Site</x:t>
        </x:is>
      </x:c>
      <x:c r="C44" s="13" t="inlineStr">
        <x:is>
          <x:t xml:space="preserve">Dallas, TX</x:t>
        </x:is>
      </x:c>
      <x:c r="D44" s="13" t="inlineStr">
        <x:is>
          <x:t xml:space="preserve">1 Pallet</x:t>
        </x:is>
      </x:c>
      <x:c r="E44" s="23">
        <x:f>IF(D44="1 Pallet",1,IF(D44="5 Pallets",5,IF(D44="10 Pallets",10,IF(Assumptions!$B$7="","",Assumptions!$B$7))))</x:f>
        <x:v>1</x:v>
      </x:c>
      <x:c r="F44" s="23">
        <x:f>IF(Assumptions!$B$5="","",Assumptions!$B$5)</x:f>
      </x:c>
      <x:c r="G44" s="23">
        <x:f>IF(OR(E44="",F44=""),"",E44*F44)</x:f>
      </x:c>
      <x:c r="H44" s="23">
        <x:f>IF(Assumptions!$B$6="","",Assumptions!$B$6)</x:f>
      </x:c>
      <x:c r="I44" s="23">
        <x:f>IF(OR(E44="",H44=""),"",E44*H44)</x:f>
      </x:c>
      <x:c r="J44" s="24" t="n"/>
      <x:c r="K44" s="16" t="n"/>
      <x:c r="L44" s="16" t="n"/>
      <x:c r="M44" s="16" t="n"/>
      <x:c r="N44" s="16" t="n"/>
      <x:c r="O44" s="16" t="n"/>
      <x:c r="P44" s="25">
        <x:f>IF(OR(J44="",E44=""),"",J44/E44)</x:f>
      </x:c>
      <x:c r="Q44" s="25">
        <x:f>IF(OR(J44="",G44=""),"",J44/G44)</x:f>
      </x:c>
      <x:c r="R44" s="26">
        <x:f>IF(OR(J44="",I44=""),"",J44/I44)</x:f>
      </x:c>
      <x:c r="S44" s="19" t="str">
        <x:f>IF(COUNTA(J44:L44)=0,"Pending",IF(COUNTA(J44:L44)&lt;3,"Partial","Complete"))</x:f>
        <x:v>Pending</x:v>
      </x:c>
    </x:row>
    <x:row r="45" ht="22" customHeight="1">
      <x:c r="A45" s="13" t="inlineStr">
        <x:is>
          <x:t xml:space="preserve">R042</x:t>
        </x:is>
      </x:c>
      <x:c r="B45" s="13" t="inlineStr">
        <x:is>
          <x:t xml:space="preserve">TN Canning Site</x:t>
        </x:is>
      </x:c>
      <x:c r="C45" s="13" t="inlineStr">
        <x:is>
          <x:t xml:space="preserve">Dallas, TX</x:t>
        </x:is>
      </x:c>
      <x:c r="D45" s="13" t="inlineStr">
        <x:is>
          <x:t xml:space="preserve">5 Pallets</x:t>
        </x:is>
      </x:c>
      <x:c r="E45" s="23">
        <x:f>IF(D45="1 Pallet",1,IF(D45="5 Pallets",5,IF(D45="10 Pallets",10,IF(Assumptions!$B$7="","",Assumptions!$B$7))))</x:f>
        <x:v>5</x:v>
      </x:c>
      <x:c r="F45" s="23">
        <x:f>IF(Assumptions!$B$5="","",Assumptions!$B$5)</x:f>
      </x:c>
      <x:c r="G45" s="23">
        <x:f>IF(OR(E45="",F45=""),"",E45*F45)</x:f>
      </x:c>
      <x:c r="H45" s="23">
        <x:f>IF(Assumptions!$B$6="","",Assumptions!$B$6)</x:f>
      </x:c>
      <x:c r="I45" s="23">
        <x:f>IF(OR(E45="",H45=""),"",E45*H45)</x:f>
      </x:c>
      <x:c r="J45" s="24" t="n"/>
      <x:c r="K45" s="16" t="n"/>
      <x:c r="L45" s="16" t="n"/>
      <x:c r="M45" s="16" t="n"/>
      <x:c r="N45" s="16" t="n"/>
      <x:c r="O45" s="16" t="n"/>
      <x:c r="P45" s="25">
        <x:f>IF(OR(J45="",E45=""),"",J45/E45)</x:f>
      </x:c>
      <x:c r="Q45" s="25">
        <x:f>IF(OR(J45="",G45=""),"",J45/G45)</x:f>
      </x:c>
      <x:c r="R45" s="26">
        <x:f>IF(OR(J45="",I45=""),"",J45/I45)</x:f>
      </x:c>
      <x:c r="S45" s="19" t="str">
        <x:f>IF(COUNTA(J45:L45)=0,"Pending",IF(COUNTA(J45:L45)&lt;3,"Partial","Complete"))</x:f>
        <x:v>Pending</x:v>
      </x:c>
    </x:row>
    <x:row r="46" ht="22" customHeight="1">
      <x:c r="A46" s="13" t="inlineStr">
        <x:is>
          <x:t xml:space="preserve">R043</x:t>
        </x:is>
      </x:c>
      <x:c r="B46" s="13" t="inlineStr">
        <x:is>
          <x:t xml:space="preserve">TN Canning Site</x:t>
        </x:is>
      </x:c>
      <x:c r="C46" s="13" t="inlineStr">
        <x:is>
          <x:t xml:space="preserve">Dallas, TX</x:t>
        </x:is>
      </x:c>
      <x:c r="D46" s="13" t="inlineStr">
        <x:is>
          <x:t xml:space="preserve">10 Pallets</x:t>
        </x:is>
      </x:c>
      <x:c r="E46" s="23">
        <x:f>IF(D46="1 Pallet",1,IF(D46="5 Pallets",5,IF(D46="10 Pallets",10,IF(Assumptions!$B$7="","",Assumptions!$B$7))))</x:f>
        <x:v>10</x:v>
      </x:c>
      <x:c r="F46" s="23">
        <x:f>IF(Assumptions!$B$5="","",Assumptions!$B$5)</x:f>
      </x:c>
      <x:c r="G46" s="23">
        <x:f>IF(OR(E46="",F46=""),"",E46*F46)</x:f>
      </x:c>
      <x:c r="H46" s="23">
        <x:f>IF(Assumptions!$B$6="","",Assumptions!$B$6)</x:f>
      </x:c>
      <x:c r="I46" s="23">
        <x:f>IF(OR(E46="",H46=""),"",E46*H46)</x:f>
      </x:c>
      <x:c r="J46" s="24" t="n"/>
      <x:c r="K46" s="16" t="n"/>
      <x:c r="L46" s="16" t="n"/>
      <x:c r="M46" s="16" t="n"/>
      <x:c r="N46" s="16" t="n"/>
      <x:c r="O46" s="16" t="n"/>
      <x:c r="P46" s="25">
        <x:f>IF(OR(J46="",E46=""),"",J46/E46)</x:f>
      </x:c>
      <x:c r="Q46" s="25">
        <x:f>IF(OR(J46="",G46=""),"",J46/G46)</x:f>
      </x:c>
      <x:c r="R46" s="26">
        <x:f>IF(OR(J46="",I46=""),"",J46/I46)</x:f>
      </x:c>
      <x:c r="S46" s="19" t="str">
        <x:f>IF(COUNTA(J46:L46)=0,"Pending",IF(COUNTA(J46:L46)&lt;3,"Partial","Complete"))</x:f>
        <x:v>Pending</x:v>
      </x:c>
    </x:row>
    <x:row r="47" ht="22" customHeight="1">
      <x:c r="A47" s="13" t="inlineStr">
        <x:is>
          <x:t xml:space="preserve">R044</x:t>
        </x:is>
      </x:c>
      <x:c r="B47" s="13" t="inlineStr">
        <x:is>
          <x:t xml:space="preserve">TN Canning Site</x:t>
        </x:is>
      </x:c>
      <x:c r="C47" s="13" t="inlineStr">
        <x:is>
          <x:t xml:space="preserve">Dallas, TX</x:t>
        </x:is>
      </x:c>
      <x:c r="D47" s="13" t="inlineStr">
        <x:is>
          <x:t xml:space="preserve">Full Truckload</x:t>
        </x:is>
      </x:c>
      <x:c r="E47" s="23">
        <x:f>IF(D47="1 Pallet",1,IF(D47="5 Pallets",5,IF(D47="10 Pallets",10,IF(Assumptions!$B$7="","",Assumptions!$B$7))))</x:f>
        <x:v>26</x:v>
      </x:c>
      <x:c r="F47" s="23">
        <x:f>IF(Assumptions!$B$5="","",Assumptions!$B$5)</x:f>
      </x:c>
      <x:c r="G47" s="23">
        <x:f>IF(OR(E47="",F47=""),"",E47*F47)</x:f>
      </x:c>
      <x:c r="H47" s="23">
        <x:f>IF(Assumptions!$B$6="","",Assumptions!$B$6)</x:f>
      </x:c>
      <x:c r="I47" s="23">
        <x:f>IF(OR(E47="",H47=""),"",E47*H47)</x:f>
      </x:c>
      <x:c r="J47" s="24" t="n"/>
      <x:c r="K47" s="16" t="n"/>
      <x:c r="L47" s="16" t="n"/>
      <x:c r="M47" s="16" t="n"/>
      <x:c r="N47" s="16" t="n"/>
      <x:c r="O47" s="16" t="n"/>
      <x:c r="P47" s="25">
        <x:f>IF(OR(J47="",E47=""),"",J47/E47)</x:f>
      </x:c>
      <x:c r="Q47" s="25">
        <x:f>IF(OR(J47="",G47=""),"",J47/G47)</x:f>
      </x:c>
      <x:c r="R47" s="26">
        <x:f>IF(OR(J47="",I47=""),"",J47/I47)</x:f>
      </x:c>
      <x:c r="S47" s="19" t="str">
        <x:f>IF(COUNTA(J47:L47)=0,"Pending",IF(COUNTA(J47:L47)&lt;3,"Partial","Complete"))</x:f>
        <x:v>Pending</x:v>
      </x:c>
    </x:row>
    <x:row r="48" ht="22" customHeight="1">
      <x:c r="A48" s="13" t="inlineStr">
        <x:is>
          <x:t xml:space="preserve">R045</x:t>
        </x:is>
      </x:c>
      <x:c r="B48" s="13" t="inlineStr">
        <x:is>
          <x:t xml:space="preserve">TN Canning Site</x:t>
        </x:is>
      </x:c>
      <x:c r="C48" s="13" t="inlineStr">
        <x:is>
          <x:t xml:space="preserve">Seattle, WA</x:t>
        </x:is>
      </x:c>
      <x:c r="D48" s="13" t="inlineStr">
        <x:is>
          <x:t xml:space="preserve">1 Pallet</x:t>
        </x:is>
      </x:c>
      <x:c r="E48" s="23">
        <x:f>IF(D48="1 Pallet",1,IF(D48="5 Pallets",5,IF(D48="10 Pallets",10,IF(Assumptions!$B$7="","",Assumptions!$B$7))))</x:f>
        <x:v>1</x:v>
      </x:c>
      <x:c r="F48" s="23">
        <x:f>IF(Assumptions!$B$5="","",Assumptions!$B$5)</x:f>
      </x:c>
      <x:c r="G48" s="23">
        <x:f>IF(OR(E48="",F48=""),"",E48*F48)</x:f>
      </x:c>
      <x:c r="H48" s="23">
        <x:f>IF(Assumptions!$B$6="","",Assumptions!$B$6)</x:f>
      </x:c>
      <x:c r="I48" s="23">
        <x:f>IF(OR(E48="",H48=""),"",E48*H48)</x:f>
      </x:c>
      <x:c r="J48" s="24" t="n"/>
      <x:c r="K48" s="16" t="n"/>
      <x:c r="L48" s="16" t="n"/>
      <x:c r="M48" s="16" t="n"/>
      <x:c r="N48" s="16" t="n"/>
      <x:c r="O48" s="16" t="n"/>
      <x:c r="P48" s="25">
        <x:f>IF(OR(J48="",E48=""),"",J48/E48)</x:f>
      </x:c>
      <x:c r="Q48" s="25">
        <x:f>IF(OR(J48="",G48=""),"",J48/G48)</x:f>
      </x:c>
      <x:c r="R48" s="26">
        <x:f>IF(OR(J48="",I48=""),"",J48/I48)</x:f>
      </x:c>
      <x:c r="S48" s="19" t="str">
        <x:f>IF(COUNTA(J48:L48)=0,"Pending",IF(COUNTA(J48:L48)&lt;3,"Partial","Complete"))</x:f>
        <x:v>Pending</x:v>
      </x:c>
    </x:row>
    <x:row r="49" ht="22" customHeight="1">
      <x:c r="A49" s="13" t="inlineStr">
        <x:is>
          <x:t xml:space="preserve">R046</x:t>
        </x:is>
      </x:c>
      <x:c r="B49" s="13" t="inlineStr">
        <x:is>
          <x:t xml:space="preserve">TN Canning Site</x:t>
        </x:is>
      </x:c>
      <x:c r="C49" s="13" t="inlineStr">
        <x:is>
          <x:t xml:space="preserve">Seattle, WA</x:t>
        </x:is>
      </x:c>
      <x:c r="D49" s="13" t="inlineStr">
        <x:is>
          <x:t xml:space="preserve">5 Pallets</x:t>
        </x:is>
      </x:c>
      <x:c r="E49" s="23">
        <x:f>IF(D49="1 Pallet",1,IF(D49="5 Pallets",5,IF(D49="10 Pallets",10,IF(Assumptions!$B$7="","",Assumptions!$B$7))))</x:f>
        <x:v>5</x:v>
      </x:c>
      <x:c r="F49" s="23">
        <x:f>IF(Assumptions!$B$5="","",Assumptions!$B$5)</x:f>
      </x:c>
      <x:c r="G49" s="23">
        <x:f>IF(OR(E49="",F49=""),"",E49*F49)</x:f>
      </x:c>
      <x:c r="H49" s="23">
        <x:f>IF(Assumptions!$B$6="","",Assumptions!$B$6)</x:f>
      </x:c>
      <x:c r="I49" s="23">
        <x:f>IF(OR(E49="",H49=""),"",E49*H49)</x:f>
      </x:c>
      <x:c r="J49" s="24" t="n"/>
      <x:c r="K49" s="16" t="n"/>
      <x:c r="L49" s="16" t="n"/>
      <x:c r="M49" s="16" t="n"/>
      <x:c r="N49" s="16" t="n"/>
      <x:c r="O49" s="16" t="n"/>
      <x:c r="P49" s="25">
        <x:f>IF(OR(J49="",E49=""),"",J49/E49)</x:f>
      </x:c>
      <x:c r="Q49" s="25">
        <x:f>IF(OR(J49="",G49=""),"",J49/G49)</x:f>
      </x:c>
      <x:c r="R49" s="26">
        <x:f>IF(OR(J49="",I49=""),"",J49/I49)</x:f>
      </x:c>
      <x:c r="S49" s="19" t="str">
        <x:f>IF(COUNTA(J49:L49)=0,"Pending",IF(COUNTA(J49:L49)&lt;3,"Partial","Complete"))</x:f>
        <x:v>Pending</x:v>
      </x:c>
    </x:row>
    <x:row r="50" ht="22" customHeight="1">
      <x:c r="A50" s="13" t="inlineStr">
        <x:is>
          <x:t xml:space="preserve">R047</x:t>
        </x:is>
      </x:c>
      <x:c r="B50" s="13" t="inlineStr">
        <x:is>
          <x:t xml:space="preserve">TN Canning Site</x:t>
        </x:is>
      </x:c>
      <x:c r="C50" s="13" t="inlineStr">
        <x:is>
          <x:t xml:space="preserve">Seattle, WA</x:t>
        </x:is>
      </x:c>
      <x:c r="D50" s="13" t="inlineStr">
        <x:is>
          <x:t xml:space="preserve">10 Pallets</x:t>
        </x:is>
      </x:c>
      <x:c r="E50" s="23">
        <x:f>IF(D50="1 Pallet",1,IF(D50="5 Pallets",5,IF(D50="10 Pallets",10,IF(Assumptions!$B$7="","",Assumptions!$B$7))))</x:f>
        <x:v>10</x:v>
      </x:c>
      <x:c r="F50" s="23">
        <x:f>IF(Assumptions!$B$5="","",Assumptions!$B$5)</x:f>
      </x:c>
      <x:c r="G50" s="23">
        <x:f>IF(OR(E50="",F50=""),"",E50*F50)</x:f>
      </x:c>
      <x:c r="H50" s="23">
        <x:f>IF(Assumptions!$B$6="","",Assumptions!$B$6)</x:f>
      </x:c>
      <x:c r="I50" s="23">
        <x:f>IF(OR(E50="",H50=""),"",E50*H50)</x:f>
      </x:c>
      <x:c r="J50" s="24" t="n"/>
      <x:c r="K50" s="16" t="n"/>
      <x:c r="L50" s="16" t="n"/>
      <x:c r="M50" s="16" t="n"/>
      <x:c r="N50" s="16" t="n"/>
      <x:c r="O50" s="16" t="n"/>
      <x:c r="P50" s="25">
        <x:f>IF(OR(J50="",E50=""),"",J50/E50)</x:f>
      </x:c>
      <x:c r="Q50" s="25">
        <x:f>IF(OR(J50="",G50=""),"",J50/G50)</x:f>
      </x:c>
      <x:c r="R50" s="26">
        <x:f>IF(OR(J50="",I50=""),"",J50/I50)</x:f>
      </x:c>
      <x:c r="S50" s="19" t="str">
        <x:f>IF(COUNTA(J50:L50)=0,"Pending",IF(COUNTA(J50:L50)&lt;3,"Partial","Complete"))</x:f>
        <x:v>Pending</x:v>
      </x:c>
    </x:row>
    <x:row r="51" ht="22" customHeight="1">
      <x:c r="A51" s="13" t="inlineStr">
        <x:is>
          <x:t xml:space="preserve">R048</x:t>
        </x:is>
      </x:c>
      <x:c r="B51" s="13" t="inlineStr">
        <x:is>
          <x:t xml:space="preserve">TN Canning Site</x:t>
        </x:is>
      </x:c>
      <x:c r="C51" s="13" t="inlineStr">
        <x:is>
          <x:t xml:space="preserve">Seattle, WA</x:t>
        </x:is>
      </x:c>
      <x:c r="D51" s="13" t="inlineStr">
        <x:is>
          <x:t xml:space="preserve">Full Truckload</x:t>
        </x:is>
      </x:c>
      <x:c r="E51" s="23">
        <x:f>IF(D51="1 Pallet",1,IF(D51="5 Pallets",5,IF(D51="10 Pallets",10,IF(Assumptions!$B$7="","",Assumptions!$B$7))))</x:f>
        <x:v>26</x:v>
      </x:c>
      <x:c r="F51" s="23">
        <x:f>IF(Assumptions!$B$5="","",Assumptions!$B$5)</x:f>
      </x:c>
      <x:c r="G51" s="23">
        <x:f>IF(OR(E51="",F51=""),"",E51*F51)</x:f>
      </x:c>
      <x:c r="H51" s="23">
        <x:f>IF(Assumptions!$B$6="","",Assumptions!$B$6)</x:f>
      </x:c>
      <x:c r="I51" s="23">
        <x:f>IF(OR(E51="",H51=""),"",E51*H51)</x:f>
      </x:c>
      <x:c r="J51" s="24" t="n"/>
      <x:c r="K51" s="16" t="n"/>
      <x:c r="L51" s="16" t="n"/>
      <x:c r="M51" s="16" t="n"/>
      <x:c r="N51" s="16" t="n"/>
      <x:c r="O51" s="16" t="n"/>
      <x:c r="P51" s="25">
        <x:f>IF(OR(J51="",E51=""),"",J51/E51)</x:f>
      </x:c>
      <x:c r="Q51" s="25">
        <x:f>IF(OR(J51="",G51=""),"",J51/G51)</x:f>
      </x:c>
      <x:c r="R51" s="26">
        <x:f>IF(OR(J51="",I51=""),"",J51/I51)</x:f>
      </x:c>
      <x:c r="S51" s="19" t="str">
        <x:f>IF(COUNTA(J51:L51)=0,"Pending",IF(COUNTA(J51:L51)&lt;3,"Partial","Complete"))</x:f>
        <x:v>Pending</x:v>
      </x:c>
    </x:row>
  </x:sheetData>
  <x:mergeCells>
    <x:mergeCell ref="A2:S2"/>
    <x:mergeCell ref="A1:S1"/>
  </x:mergeCells>
  <x:conditionalFormatting sqref="S4:S51">
    <x:cfRule type="expression" dxfId="1" priority="1">
      <x:formula>$S4="Complete"</x:formula>
    </x:cfRule>
    <x:cfRule type="expression" dxfId="2" priority="2">
      <x:formula>$S4="Partial"</x:formula>
    </x:cfRule>
    <x:cfRule type="expression" dxfId="0" priority="3">
      <x:formula>$S4="Pending"</x:formula>
    </x:cfRule>
  </x:conditionalFormatting>
  <x:dataValidations count="1">
    <x:dataValidation type="list" allowBlank="1" showDropDown="0" showInputMessage="0" showErrorMessage="0" sqref="N4 N5 N6 N7 N8 N9 N10 N11 N12 N13 N14 N15 N16 N17 N18 N19 N20 N21 N22 N23 N24 N25 N26 N27 N28 N29 N30 N31 N32 N33 N34 N35 N36 N37 N38 N39 N40 N41 N42 N43 N44 N45 N46 N47 N48 N49 N50 N51">
      <x:formula1>"Yes,No,Partial"</x:formula1>
    </x:dataValidation>
  </x:dataValidations>
  <x:pageMargins left="0.7" right="0.7" top="0.75" bottom="0.75" header="0.3" footer="0.3"/>
  <x:legacyDrawing xmlns:r="http://schemas.openxmlformats.org/officeDocument/2006/relationships" r:id="R0418604588ad4a08"/>
</x:worksheet>
</file>

<file path=xl/worksheets/sheet4.xml><?xml version="1.0" encoding="utf-8"?>
<x:worksheet xmlns:x="http://schemas.openxmlformats.org/spreadsheetml/2006/main">
  <x:sheetPr>
    <x:tabColor rgb="000F766E"/>
  </x:sheetPr>
  <x:sheetViews>
    <x:sheetView showGridLines="0" workbookViewId="0"/>
  </x:sheetViews>
  <x:sheetFormatPr baseColWidth="8" defaultRowHeight="15"/>
  <x:cols>
    <x:col min="1" max="1" width="18" customWidth="1"/>
    <x:col min="2" max="2" width="20" customWidth="1"/>
    <x:col min="3" max="3" width="13" customWidth="1"/>
    <x:col min="4" max="4" width="13" customWidth="1"/>
    <x:col min="5" max="5" width="13" customWidth="1"/>
    <x:col min="6" max="6" width="16" customWidth="1"/>
  </x:cols>
  <x:sheetData>
    <x:row r="1" ht="22" customHeight="1">
      <x:c r="A1" s="1" t="inlineStr">
        <x:is>
          <x:t xml:space="preserve">Summary Comparison</x:t>
        </x:is>
      </x:c>
    </x:row>
    <x:row r="2" ht="22" customHeight="1">
      <x:c r="A2" s="3" t="inlineStr">
        <x:is>
          <x:t xml:space="preserve">This sheet summarizes calculated cost per case and cost per pallet once quotes are entered on Quote Entry.</x:t>
        </x:is>
      </x:c>
    </x:row>
    <x:row r="3" ht="22" customHeight="1"/>
    <x:row r="4" ht="22" customHeight="1">
      <x:c r="A4" s="2" t="inlineStr">
        <x:is>
          <x:t xml:space="preserve">Cost per Case by Route</x:t>
        </x:is>
      </x:c>
    </x:row>
    <x:row r="5" ht="22" customHeight="1">
      <x:c r="A5" s="9" t="inlineStr">
        <x:is>
          <x:t xml:space="preserve">Origin</x:t>
        </x:is>
      </x:c>
      <x:c r="B5" s="9" t="inlineStr">
        <x:is>
          <x:t xml:space="preserve">Destination</x:t>
        </x:is>
      </x:c>
      <x:c r="C5" s="9" t="inlineStr">
        <x:is>
          <x:t xml:space="preserve">1 Pallet</x:t>
        </x:is>
      </x:c>
      <x:c r="D5" s="9" t="inlineStr">
        <x:is>
          <x:t xml:space="preserve">5 Pallets</x:t>
        </x:is>
      </x:c>
      <x:c r="E5" s="9" t="inlineStr">
        <x:is>
          <x:t xml:space="preserve">10 Pallets</x:t>
        </x:is>
      </x:c>
      <x:c r="F5" s="9" t="inlineStr">
        <x:is>
          <x:t xml:space="preserve">Full Truckload</x:t>
        </x:is>
      </x:c>
    </x:row>
    <x:row r="6" ht="22" customHeight="1">
      <x:c r="A6" s="20" t="inlineStr">
        <x:is>
          <x:t xml:space="preserve">Des Moines, IA</x:t>
        </x:is>
      </x:c>
      <x:c r="B6" s="20" t="inlineStr">
        <x:is>
          <x:t xml:space="preserve">Salt Lake City, UT</x:t>
        </x:is>
      </x:c>
      <x:c r="C6" s="27">
        <x:f>IF(SUMIFS('Quote Entry'!$Q$4:$Q$51,'Quote Entry'!$B$4:$B$51,$A6,'Quote Entry'!$C$4:$C$51,$B6,'Quote Entry'!$D$4:$D$51,C$5)=0,"",SUMIFS('Quote Entry'!$Q$4:$Q$51,'Quote Entry'!$B$4:$B$51,$A6,'Quote Entry'!$C$4:$C$51,$B6,'Quote Entry'!$D$4:$D$51,C$5))</x:f>
      </x:c>
      <x:c r="D6" s="27">
        <x:f>IF(SUMIFS('Quote Entry'!$Q$4:$Q$51,'Quote Entry'!$B$4:$B$51,$A6,'Quote Entry'!$C$4:$C$51,$B6,'Quote Entry'!$D$4:$D$51,D$5)=0,"",SUMIFS('Quote Entry'!$Q$4:$Q$51,'Quote Entry'!$B$4:$B$51,$A6,'Quote Entry'!$C$4:$C$51,$B6,'Quote Entry'!$D$4:$D$51,D$5))</x:f>
      </x:c>
      <x:c r="E6" s="27">
        <x:f>IF(SUMIFS('Quote Entry'!$Q$4:$Q$51,'Quote Entry'!$B$4:$B$51,$A6,'Quote Entry'!$C$4:$C$51,$B6,'Quote Entry'!$D$4:$D$51,E$5)=0,"",SUMIFS('Quote Entry'!$Q$4:$Q$51,'Quote Entry'!$B$4:$B$51,$A6,'Quote Entry'!$C$4:$C$51,$B6,'Quote Entry'!$D$4:$D$51,E$5))</x:f>
      </x:c>
      <x:c r="F6" s="27">
        <x:f>IF(SUMIFS('Quote Entry'!$Q$4:$Q$51,'Quote Entry'!$B$4:$B$51,$A6,'Quote Entry'!$C$4:$C$51,$B6,'Quote Entry'!$D$4:$D$51,F$5)=0,"",SUMIFS('Quote Entry'!$Q$4:$Q$51,'Quote Entry'!$B$4:$B$51,$A6,'Quote Entry'!$C$4:$C$51,$B6,'Quote Entry'!$D$4:$D$51,F$5))</x:f>
      </x:c>
    </x:row>
    <x:row r="7" ht="22" customHeight="1">
      <x:c r="A7" s="20" t="inlineStr">
        <x:is>
          <x:t xml:space="preserve">Des Moines, IA</x:t>
        </x:is>
      </x:c>
      <x:c r="B7" s="20" t="inlineStr">
        <x:is>
          <x:t xml:space="preserve">Los Angeles, CA</x:t>
        </x:is>
      </x:c>
      <x:c r="C7" s="27">
        <x:f>IF(SUMIFS('Quote Entry'!$Q$4:$Q$51,'Quote Entry'!$B$4:$B$51,$A7,'Quote Entry'!$C$4:$C$51,$B7,'Quote Entry'!$D$4:$D$51,C$5)=0,"",SUMIFS('Quote Entry'!$Q$4:$Q$51,'Quote Entry'!$B$4:$B$51,$A7,'Quote Entry'!$C$4:$C$51,$B7,'Quote Entry'!$D$4:$D$51,C$5))</x:f>
      </x:c>
      <x:c r="D7" s="27">
        <x:f>IF(SUMIFS('Quote Entry'!$Q$4:$Q$51,'Quote Entry'!$B$4:$B$51,$A7,'Quote Entry'!$C$4:$C$51,$B7,'Quote Entry'!$D$4:$D$51,D$5)=0,"",SUMIFS('Quote Entry'!$Q$4:$Q$51,'Quote Entry'!$B$4:$B$51,$A7,'Quote Entry'!$C$4:$C$51,$B7,'Quote Entry'!$D$4:$D$51,D$5))</x:f>
      </x:c>
      <x:c r="E7" s="27">
        <x:f>IF(SUMIFS('Quote Entry'!$Q$4:$Q$51,'Quote Entry'!$B$4:$B$51,$A7,'Quote Entry'!$C$4:$C$51,$B7,'Quote Entry'!$D$4:$D$51,E$5)=0,"",SUMIFS('Quote Entry'!$Q$4:$Q$51,'Quote Entry'!$B$4:$B$51,$A7,'Quote Entry'!$C$4:$C$51,$B7,'Quote Entry'!$D$4:$D$51,E$5))</x:f>
      </x:c>
      <x:c r="F7" s="27">
        <x:f>IF(SUMIFS('Quote Entry'!$Q$4:$Q$51,'Quote Entry'!$B$4:$B$51,$A7,'Quote Entry'!$C$4:$C$51,$B7,'Quote Entry'!$D$4:$D$51,F$5)=0,"",SUMIFS('Quote Entry'!$Q$4:$Q$51,'Quote Entry'!$B$4:$B$51,$A7,'Quote Entry'!$C$4:$C$51,$B7,'Quote Entry'!$D$4:$D$51,F$5))</x:f>
      </x:c>
    </x:row>
    <x:row r="8" ht="22" customHeight="1">
      <x:c r="A8" s="20" t="inlineStr">
        <x:is>
          <x:t xml:space="preserve">Des Moines, IA</x:t>
        </x:is>
      </x:c>
      <x:c r="B8" s="20" t="inlineStr">
        <x:is>
          <x:t xml:space="preserve">New York, NY</x:t>
        </x:is>
      </x:c>
      <x:c r="C8" s="27">
        <x:f>IF(SUMIFS('Quote Entry'!$Q$4:$Q$51,'Quote Entry'!$B$4:$B$51,$A8,'Quote Entry'!$C$4:$C$51,$B8,'Quote Entry'!$D$4:$D$51,C$5)=0,"",SUMIFS('Quote Entry'!$Q$4:$Q$51,'Quote Entry'!$B$4:$B$51,$A8,'Quote Entry'!$C$4:$C$51,$B8,'Quote Entry'!$D$4:$D$51,C$5))</x:f>
      </x:c>
      <x:c r="D8" s="27">
        <x:f>IF(SUMIFS('Quote Entry'!$Q$4:$Q$51,'Quote Entry'!$B$4:$B$51,$A8,'Quote Entry'!$C$4:$C$51,$B8,'Quote Entry'!$D$4:$D$51,D$5)=0,"",SUMIFS('Quote Entry'!$Q$4:$Q$51,'Quote Entry'!$B$4:$B$51,$A8,'Quote Entry'!$C$4:$C$51,$B8,'Quote Entry'!$D$4:$D$51,D$5))</x:f>
      </x:c>
      <x:c r="E8" s="27">
        <x:f>IF(SUMIFS('Quote Entry'!$Q$4:$Q$51,'Quote Entry'!$B$4:$B$51,$A8,'Quote Entry'!$C$4:$C$51,$B8,'Quote Entry'!$D$4:$D$51,E$5)=0,"",SUMIFS('Quote Entry'!$Q$4:$Q$51,'Quote Entry'!$B$4:$B$51,$A8,'Quote Entry'!$C$4:$C$51,$B8,'Quote Entry'!$D$4:$D$51,E$5))</x:f>
      </x:c>
      <x:c r="F8" s="27">
        <x:f>IF(SUMIFS('Quote Entry'!$Q$4:$Q$51,'Quote Entry'!$B$4:$B$51,$A8,'Quote Entry'!$C$4:$C$51,$B8,'Quote Entry'!$D$4:$D$51,F$5)=0,"",SUMIFS('Quote Entry'!$Q$4:$Q$51,'Quote Entry'!$B$4:$B$51,$A8,'Quote Entry'!$C$4:$C$51,$B8,'Quote Entry'!$D$4:$D$51,F$5))</x:f>
      </x:c>
    </x:row>
    <x:row r="9" ht="22" customHeight="1">
      <x:c r="A9" s="20" t="inlineStr">
        <x:is>
          <x:t xml:space="preserve">Des Moines, IA</x:t>
        </x:is>
      </x:c>
      <x:c r="B9" s="20" t="inlineStr">
        <x:is>
          <x:t xml:space="preserve">Boston, MA</x:t>
        </x:is>
      </x:c>
      <x:c r="C9" s="27">
        <x:f>IF(SUMIFS('Quote Entry'!$Q$4:$Q$51,'Quote Entry'!$B$4:$B$51,$A9,'Quote Entry'!$C$4:$C$51,$B9,'Quote Entry'!$D$4:$D$51,C$5)=0,"",SUMIFS('Quote Entry'!$Q$4:$Q$51,'Quote Entry'!$B$4:$B$51,$A9,'Quote Entry'!$C$4:$C$51,$B9,'Quote Entry'!$D$4:$D$51,C$5))</x:f>
      </x:c>
      <x:c r="D9" s="27">
        <x:f>IF(SUMIFS('Quote Entry'!$Q$4:$Q$51,'Quote Entry'!$B$4:$B$51,$A9,'Quote Entry'!$C$4:$C$51,$B9,'Quote Entry'!$D$4:$D$51,D$5)=0,"",SUMIFS('Quote Entry'!$Q$4:$Q$51,'Quote Entry'!$B$4:$B$51,$A9,'Quote Entry'!$C$4:$C$51,$B9,'Quote Entry'!$D$4:$D$51,D$5))</x:f>
      </x:c>
      <x:c r="E9" s="27">
        <x:f>IF(SUMIFS('Quote Entry'!$Q$4:$Q$51,'Quote Entry'!$B$4:$B$51,$A9,'Quote Entry'!$C$4:$C$51,$B9,'Quote Entry'!$D$4:$D$51,E$5)=0,"",SUMIFS('Quote Entry'!$Q$4:$Q$51,'Quote Entry'!$B$4:$B$51,$A9,'Quote Entry'!$C$4:$C$51,$B9,'Quote Entry'!$D$4:$D$51,E$5))</x:f>
      </x:c>
      <x:c r="F9" s="27">
        <x:f>IF(SUMIFS('Quote Entry'!$Q$4:$Q$51,'Quote Entry'!$B$4:$B$51,$A9,'Quote Entry'!$C$4:$C$51,$B9,'Quote Entry'!$D$4:$D$51,F$5)=0,"",SUMIFS('Quote Entry'!$Q$4:$Q$51,'Quote Entry'!$B$4:$B$51,$A9,'Quote Entry'!$C$4:$C$51,$B9,'Quote Entry'!$D$4:$D$51,F$5))</x:f>
      </x:c>
    </x:row>
    <x:row r="10" ht="22" customHeight="1">
      <x:c r="A10" s="20" t="inlineStr">
        <x:is>
          <x:t xml:space="preserve">Des Moines, IA</x:t>
        </x:is>
      </x:c>
      <x:c r="B10" s="20" t="inlineStr">
        <x:is>
          <x:t xml:space="preserve">Dallas, TX</x:t>
        </x:is>
      </x:c>
      <x:c r="C10" s="27">
        <x:f>IF(SUMIFS('Quote Entry'!$Q$4:$Q$51,'Quote Entry'!$B$4:$B$51,$A10,'Quote Entry'!$C$4:$C$51,$B10,'Quote Entry'!$D$4:$D$51,C$5)=0,"",SUMIFS('Quote Entry'!$Q$4:$Q$51,'Quote Entry'!$B$4:$B$51,$A10,'Quote Entry'!$C$4:$C$51,$B10,'Quote Entry'!$D$4:$D$51,C$5))</x:f>
      </x:c>
      <x:c r="D10" s="27">
        <x:f>IF(SUMIFS('Quote Entry'!$Q$4:$Q$51,'Quote Entry'!$B$4:$B$51,$A10,'Quote Entry'!$C$4:$C$51,$B10,'Quote Entry'!$D$4:$D$51,D$5)=0,"",SUMIFS('Quote Entry'!$Q$4:$Q$51,'Quote Entry'!$B$4:$B$51,$A10,'Quote Entry'!$C$4:$C$51,$B10,'Quote Entry'!$D$4:$D$51,D$5))</x:f>
      </x:c>
      <x:c r="E10" s="27">
        <x:f>IF(SUMIFS('Quote Entry'!$Q$4:$Q$51,'Quote Entry'!$B$4:$B$51,$A10,'Quote Entry'!$C$4:$C$51,$B10,'Quote Entry'!$D$4:$D$51,E$5)=0,"",SUMIFS('Quote Entry'!$Q$4:$Q$51,'Quote Entry'!$B$4:$B$51,$A10,'Quote Entry'!$C$4:$C$51,$B10,'Quote Entry'!$D$4:$D$51,E$5))</x:f>
      </x:c>
      <x:c r="F10" s="27">
        <x:f>IF(SUMIFS('Quote Entry'!$Q$4:$Q$51,'Quote Entry'!$B$4:$B$51,$A10,'Quote Entry'!$C$4:$C$51,$B10,'Quote Entry'!$D$4:$D$51,F$5)=0,"",SUMIFS('Quote Entry'!$Q$4:$Q$51,'Quote Entry'!$B$4:$B$51,$A10,'Quote Entry'!$C$4:$C$51,$B10,'Quote Entry'!$D$4:$D$51,F$5))</x:f>
      </x:c>
    </x:row>
    <x:row r="11" ht="22" customHeight="1">
      <x:c r="A11" s="20" t="inlineStr">
        <x:is>
          <x:t xml:space="preserve">Des Moines, IA</x:t>
        </x:is>
      </x:c>
      <x:c r="B11" s="20" t="inlineStr">
        <x:is>
          <x:t xml:space="preserve">Seattle, WA</x:t>
        </x:is>
      </x:c>
      <x:c r="C11" s="27">
        <x:f>IF(SUMIFS('Quote Entry'!$Q$4:$Q$51,'Quote Entry'!$B$4:$B$51,$A11,'Quote Entry'!$C$4:$C$51,$B11,'Quote Entry'!$D$4:$D$51,C$5)=0,"",SUMIFS('Quote Entry'!$Q$4:$Q$51,'Quote Entry'!$B$4:$B$51,$A11,'Quote Entry'!$C$4:$C$51,$B11,'Quote Entry'!$D$4:$D$51,C$5))</x:f>
      </x:c>
      <x:c r="D11" s="27">
        <x:f>IF(SUMIFS('Quote Entry'!$Q$4:$Q$51,'Quote Entry'!$B$4:$B$51,$A11,'Quote Entry'!$C$4:$C$51,$B11,'Quote Entry'!$D$4:$D$51,D$5)=0,"",SUMIFS('Quote Entry'!$Q$4:$Q$51,'Quote Entry'!$B$4:$B$51,$A11,'Quote Entry'!$C$4:$C$51,$B11,'Quote Entry'!$D$4:$D$51,D$5))</x:f>
      </x:c>
      <x:c r="E11" s="27">
        <x:f>IF(SUMIFS('Quote Entry'!$Q$4:$Q$51,'Quote Entry'!$B$4:$B$51,$A11,'Quote Entry'!$C$4:$C$51,$B11,'Quote Entry'!$D$4:$D$51,E$5)=0,"",SUMIFS('Quote Entry'!$Q$4:$Q$51,'Quote Entry'!$B$4:$B$51,$A11,'Quote Entry'!$C$4:$C$51,$B11,'Quote Entry'!$D$4:$D$51,E$5))</x:f>
      </x:c>
      <x:c r="F11" s="27">
        <x:f>IF(SUMIFS('Quote Entry'!$Q$4:$Q$51,'Quote Entry'!$B$4:$B$51,$A11,'Quote Entry'!$C$4:$C$51,$B11,'Quote Entry'!$D$4:$D$51,F$5)=0,"",SUMIFS('Quote Entry'!$Q$4:$Q$51,'Quote Entry'!$B$4:$B$51,$A11,'Quote Entry'!$C$4:$C$51,$B11,'Quote Entry'!$D$4:$D$51,F$5))</x:f>
      </x:c>
    </x:row>
    <x:row r="12" ht="22" customHeight="1">
      <x:c r="A12" s="20" t="inlineStr">
        <x:is>
          <x:t xml:space="preserve">TN Canning Site</x:t>
        </x:is>
      </x:c>
      <x:c r="B12" s="20" t="inlineStr">
        <x:is>
          <x:t xml:space="preserve">Salt Lake City, UT</x:t>
        </x:is>
      </x:c>
      <x:c r="C12" s="27">
        <x:f>IF(SUMIFS('Quote Entry'!$Q$4:$Q$51,'Quote Entry'!$B$4:$B$51,$A12,'Quote Entry'!$C$4:$C$51,$B12,'Quote Entry'!$D$4:$D$51,C$5)=0,"",SUMIFS('Quote Entry'!$Q$4:$Q$51,'Quote Entry'!$B$4:$B$51,$A12,'Quote Entry'!$C$4:$C$51,$B12,'Quote Entry'!$D$4:$D$51,C$5))</x:f>
      </x:c>
      <x:c r="D12" s="27">
        <x:f>IF(SUMIFS('Quote Entry'!$Q$4:$Q$51,'Quote Entry'!$B$4:$B$51,$A12,'Quote Entry'!$C$4:$C$51,$B12,'Quote Entry'!$D$4:$D$51,D$5)=0,"",SUMIFS('Quote Entry'!$Q$4:$Q$51,'Quote Entry'!$B$4:$B$51,$A12,'Quote Entry'!$C$4:$C$51,$B12,'Quote Entry'!$D$4:$D$51,D$5))</x:f>
      </x:c>
      <x:c r="E12" s="27">
        <x:f>IF(SUMIFS('Quote Entry'!$Q$4:$Q$51,'Quote Entry'!$B$4:$B$51,$A12,'Quote Entry'!$C$4:$C$51,$B12,'Quote Entry'!$D$4:$D$51,E$5)=0,"",SUMIFS('Quote Entry'!$Q$4:$Q$51,'Quote Entry'!$B$4:$B$51,$A12,'Quote Entry'!$C$4:$C$51,$B12,'Quote Entry'!$D$4:$D$51,E$5))</x:f>
      </x:c>
      <x:c r="F12" s="27">
        <x:f>IF(SUMIFS('Quote Entry'!$Q$4:$Q$51,'Quote Entry'!$B$4:$B$51,$A12,'Quote Entry'!$C$4:$C$51,$B12,'Quote Entry'!$D$4:$D$51,F$5)=0,"",SUMIFS('Quote Entry'!$Q$4:$Q$51,'Quote Entry'!$B$4:$B$51,$A12,'Quote Entry'!$C$4:$C$51,$B12,'Quote Entry'!$D$4:$D$51,F$5))</x:f>
      </x:c>
    </x:row>
    <x:row r="13" ht="22" customHeight="1">
      <x:c r="A13" s="20" t="inlineStr">
        <x:is>
          <x:t xml:space="preserve">TN Canning Site</x:t>
        </x:is>
      </x:c>
      <x:c r="B13" s="20" t="inlineStr">
        <x:is>
          <x:t xml:space="preserve">Los Angeles, CA</x:t>
        </x:is>
      </x:c>
      <x:c r="C13" s="27">
        <x:f>IF(SUMIFS('Quote Entry'!$Q$4:$Q$51,'Quote Entry'!$B$4:$B$51,$A13,'Quote Entry'!$C$4:$C$51,$B13,'Quote Entry'!$D$4:$D$51,C$5)=0,"",SUMIFS('Quote Entry'!$Q$4:$Q$51,'Quote Entry'!$B$4:$B$51,$A13,'Quote Entry'!$C$4:$C$51,$B13,'Quote Entry'!$D$4:$D$51,C$5))</x:f>
      </x:c>
      <x:c r="D13" s="27">
        <x:f>IF(SUMIFS('Quote Entry'!$Q$4:$Q$51,'Quote Entry'!$B$4:$B$51,$A13,'Quote Entry'!$C$4:$C$51,$B13,'Quote Entry'!$D$4:$D$51,D$5)=0,"",SUMIFS('Quote Entry'!$Q$4:$Q$51,'Quote Entry'!$B$4:$B$51,$A13,'Quote Entry'!$C$4:$C$51,$B13,'Quote Entry'!$D$4:$D$51,D$5))</x:f>
      </x:c>
      <x:c r="E13" s="27">
        <x:f>IF(SUMIFS('Quote Entry'!$Q$4:$Q$51,'Quote Entry'!$B$4:$B$51,$A13,'Quote Entry'!$C$4:$C$51,$B13,'Quote Entry'!$D$4:$D$51,E$5)=0,"",SUMIFS('Quote Entry'!$Q$4:$Q$51,'Quote Entry'!$B$4:$B$51,$A13,'Quote Entry'!$C$4:$C$51,$B13,'Quote Entry'!$D$4:$D$51,E$5))</x:f>
      </x:c>
      <x:c r="F13" s="27">
        <x:f>IF(SUMIFS('Quote Entry'!$Q$4:$Q$51,'Quote Entry'!$B$4:$B$51,$A13,'Quote Entry'!$C$4:$C$51,$B13,'Quote Entry'!$D$4:$D$51,F$5)=0,"",SUMIFS('Quote Entry'!$Q$4:$Q$51,'Quote Entry'!$B$4:$B$51,$A13,'Quote Entry'!$C$4:$C$51,$B13,'Quote Entry'!$D$4:$D$51,F$5))</x:f>
      </x:c>
    </x:row>
    <x:row r="14" ht="22" customHeight="1">
      <x:c r="A14" s="20" t="inlineStr">
        <x:is>
          <x:t xml:space="preserve">TN Canning Site</x:t>
        </x:is>
      </x:c>
      <x:c r="B14" s="20" t="inlineStr">
        <x:is>
          <x:t xml:space="preserve">New York, NY</x:t>
        </x:is>
      </x:c>
      <x:c r="C14" s="27">
        <x:f>IF(SUMIFS('Quote Entry'!$Q$4:$Q$51,'Quote Entry'!$B$4:$B$51,$A14,'Quote Entry'!$C$4:$C$51,$B14,'Quote Entry'!$D$4:$D$51,C$5)=0,"",SUMIFS('Quote Entry'!$Q$4:$Q$51,'Quote Entry'!$B$4:$B$51,$A14,'Quote Entry'!$C$4:$C$51,$B14,'Quote Entry'!$D$4:$D$51,C$5))</x:f>
      </x:c>
      <x:c r="D14" s="27">
        <x:f>IF(SUMIFS('Quote Entry'!$Q$4:$Q$51,'Quote Entry'!$B$4:$B$51,$A14,'Quote Entry'!$C$4:$C$51,$B14,'Quote Entry'!$D$4:$D$51,D$5)=0,"",SUMIFS('Quote Entry'!$Q$4:$Q$51,'Quote Entry'!$B$4:$B$51,$A14,'Quote Entry'!$C$4:$C$51,$B14,'Quote Entry'!$D$4:$D$51,D$5))</x:f>
      </x:c>
      <x:c r="E14" s="27">
        <x:f>IF(SUMIFS('Quote Entry'!$Q$4:$Q$51,'Quote Entry'!$B$4:$B$51,$A14,'Quote Entry'!$C$4:$C$51,$B14,'Quote Entry'!$D$4:$D$51,E$5)=0,"",SUMIFS('Quote Entry'!$Q$4:$Q$51,'Quote Entry'!$B$4:$B$51,$A14,'Quote Entry'!$C$4:$C$51,$B14,'Quote Entry'!$D$4:$D$51,E$5))</x:f>
      </x:c>
      <x:c r="F14" s="27">
        <x:f>IF(SUMIFS('Quote Entry'!$Q$4:$Q$51,'Quote Entry'!$B$4:$B$51,$A14,'Quote Entry'!$C$4:$C$51,$B14,'Quote Entry'!$D$4:$D$51,F$5)=0,"",SUMIFS('Quote Entry'!$Q$4:$Q$51,'Quote Entry'!$B$4:$B$51,$A14,'Quote Entry'!$C$4:$C$51,$B14,'Quote Entry'!$D$4:$D$51,F$5))</x:f>
      </x:c>
    </x:row>
    <x:row r="15" ht="22" customHeight="1">
      <x:c r="A15" s="20" t="inlineStr">
        <x:is>
          <x:t xml:space="preserve">TN Canning Site</x:t>
        </x:is>
      </x:c>
      <x:c r="B15" s="20" t="inlineStr">
        <x:is>
          <x:t xml:space="preserve">Boston, MA</x:t>
        </x:is>
      </x:c>
      <x:c r="C15" s="27">
        <x:f>IF(SUMIFS('Quote Entry'!$Q$4:$Q$51,'Quote Entry'!$B$4:$B$51,$A15,'Quote Entry'!$C$4:$C$51,$B15,'Quote Entry'!$D$4:$D$51,C$5)=0,"",SUMIFS('Quote Entry'!$Q$4:$Q$51,'Quote Entry'!$B$4:$B$51,$A15,'Quote Entry'!$C$4:$C$51,$B15,'Quote Entry'!$D$4:$D$51,C$5))</x:f>
      </x:c>
      <x:c r="D15" s="27">
        <x:f>IF(SUMIFS('Quote Entry'!$Q$4:$Q$51,'Quote Entry'!$B$4:$B$51,$A15,'Quote Entry'!$C$4:$C$51,$B15,'Quote Entry'!$D$4:$D$51,D$5)=0,"",SUMIFS('Quote Entry'!$Q$4:$Q$51,'Quote Entry'!$B$4:$B$51,$A15,'Quote Entry'!$C$4:$C$51,$B15,'Quote Entry'!$D$4:$D$51,D$5))</x:f>
      </x:c>
      <x:c r="E15" s="27">
        <x:f>IF(SUMIFS('Quote Entry'!$Q$4:$Q$51,'Quote Entry'!$B$4:$B$51,$A15,'Quote Entry'!$C$4:$C$51,$B15,'Quote Entry'!$D$4:$D$51,E$5)=0,"",SUMIFS('Quote Entry'!$Q$4:$Q$51,'Quote Entry'!$B$4:$B$51,$A15,'Quote Entry'!$C$4:$C$51,$B15,'Quote Entry'!$D$4:$D$51,E$5))</x:f>
      </x:c>
      <x:c r="F15" s="27">
        <x:f>IF(SUMIFS('Quote Entry'!$Q$4:$Q$51,'Quote Entry'!$B$4:$B$51,$A15,'Quote Entry'!$C$4:$C$51,$B15,'Quote Entry'!$D$4:$D$51,F$5)=0,"",SUMIFS('Quote Entry'!$Q$4:$Q$51,'Quote Entry'!$B$4:$B$51,$A15,'Quote Entry'!$C$4:$C$51,$B15,'Quote Entry'!$D$4:$D$51,F$5))</x:f>
      </x:c>
    </x:row>
    <x:row r="16" ht="22" customHeight="1">
      <x:c r="A16" s="20" t="inlineStr">
        <x:is>
          <x:t xml:space="preserve">TN Canning Site</x:t>
        </x:is>
      </x:c>
      <x:c r="B16" s="20" t="inlineStr">
        <x:is>
          <x:t xml:space="preserve">Dallas, TX</x:t>
        </x:is>
      </x:c>
      <x:c r="C16" s="27">
        <x:f>IF(SUMIFS('Quote Entry'!$Q$4:$Q$51,'Quote Entry'!$B$4:$B$51,$A16,'Quote Entry'!$C$4:$C$51,$B16,'Quote Entry'!$D$4:$D$51,C$5)=0,"",SUMIFS('Quote Entry'!$Q$4:$Q$51,'Quote Entry'!$B$4:$B$51,$A16,'Quote Entry'!$C$4:$C$51,$B16,'Quote Entry'!$D$4:$D$51,C$5))</x:f>
      </x:c>
      <x:c r="D16" s="27">
        <x:f>IF(SUMIFS('Quote Entry'!$Q$4:$Q$51,'Quote Entry'!$B$4:$B$51,$A16,'Quote Entry'!$C$4:$C$51,$B16,'Quote Entry'!$D$4:$D$51,D$5)=0,"",SUMIFS('Quote Entry'!$Q$4:$Q$51,'Quote Entry'!$B$4:$B$51,$A16,'Quote Entry'!$C$4:$C$51,$B16,'Quote Entry'!$D$4:$D$51,D$5))</x:f>
      </x:c>
      <x:c r="E16" s="27">
        <x:f>IF(SUMIFS('Quote Entry'!$Q$4:$Q$51,'Quote Entry'!$B$4:$B$51,$A16,'Quote Entry'!$C$4:$C$51,$B16,'Quote Entry'!$D$4:$D$51,E$5)=0,"",SUMIFS('Quote Entry'!$Q$4:$Q$51,'Quote Entry'!$B$4:$B$51,$A16,'Quote Entry'!$C$4:$C$51,$B16,'Quote Entry'!$D$4:$D$51,E$5))</x:f>
      </x:c>
      <x:c r="F16" s="27">
        <x:f>IF(SUMIFS('Quote Entry'!$Q$4:$Q$51,'Quote Entry'!$B$4:$B$51,$A16,'Quote Entry'!$C$4:$C$51,$B16,'Quote Entry'!$D$4:$D$51,F$5)=0,"",SUMIFS('Quote Entry'!$Q$4:$Q$51,'Quote Entry'!$B$4:$B$51,$A16,'Quote Entry'!$C$4:$C$51,$B16,'Quote Entry'!$D$4:$D$51,F$5))</x:f>
      </x:c>
    </x:row>
    <x:row r="17" ht="22" customHeight="1">
      <x:c r="A17" s="20" t="inlineStr">
        <x:is>
          <x:t xml:space="preserve">TN Canning Site</x:t>
        </x:is>
      </x:c>
      <x:c r="B17" s="20" t="inlineStr">
        <x:is>
          <x:t xml:space="preserve">Seattle, WA</x:t>
        </x:is>
      </x:c>
      <x:c r="C17" s="27">
        <x:f>IF(SUMIFS('Quote Entry'!$Q$4:$Q$51,'Quote Entry'!$B$4:$B$51,$A17,'Quote Entry'!$C$4:$C$51,$B17,'Quote Entry'!$D$4:$D$51,C$5)=0,"",SUMIFS('Quote Entry'!$Q$4:$Q$51,'Quote Entry'!$B$4:$B$51,$A17,'Quote Entry'!$C$4:$C$51,$B17,'Quote Entry'!$D$4:$D$51,C$5))</x:f>
      </x:c>
      <x:c r="D17" s="27">
        <x:f>IF(SUMIFS('Quote Entry'!$Q$4:$Q$51,'Quote Entry'!$B$4:$B$51,$A17,'Quote Entry'!$C$4:$C$51,$B17,'Quote Entry'!$D$4:$D$51,D$5)=0,"",SUMIFS('Quote Entry'!$Q$4:$Q$51,'Quote Entry'!$B$4:$B$51,$A17,'Quote Entry'!$C$4:$C$51,$B17,'Quote Entry'!$D$4:$D$51,D$5))</x:f>
      </x:c>
      <x:c r="E17" s="27">
        <x:f>IF(SUMIFS('Quote Entry'!$Q$4:$Q$51,'Quote Entry'!$B$4:$B$51,$A17,'Quote Entry'!$C$4:$C$51,$B17,'Quote Entry'!$D$4:$D$51,E$5)=0,"",SUMIFS('Quote Entry'!$Q$4:$Q$51,'Quote Entry'!$B$4:$B$51,$A17,'Quote Entry'!$C$4:$C$51,$B17,'Quote Entry'!$D$4:$D$51,E$5))</x:f>
      </x:c>
      <x:c r="F17" s="27">
        <x:f>IF(SUMIFS('Quote Entry'!$Q$4:$Q$51,'Quote Entry'!$B$4:$B$51,$A17,'Quote Entry'!$C$4:$C$51,$B17,'Quote Entry'!$D$4:$D$51,F$5)=0,"",SUMIFS('Quote Entry'!$Q$4:$Q$51,'Quote Entry'!$B$4:$B$51,$A17,'Quote Entry'!$C$4:$C$51,$B17,'Quote Entry'!$D$4:$D$51,F$5))</x:f>
      </x:c>
    </x:row>
    <x:row r="18" ht="22" customHeight="1"/>
    <x:row r="19" ht="22" customHeight="1"/>
    <x:row r="20" ht="22" customHeight="1">
      <x:c r="A20" s="2" t="inlineStr">
        <x:is>
          <x:t xml:space="preserve">Cost per Pallet by Route</x:t>
        </x:is>
      </x:c>
    </x:row>
    <x:row r="21" ht="22" customHeight="1">
      <x:c r="A21" s="9" t="inlineStr">
        <x:is>
          <x:t xml:space="preserve">Origin</x:t>
        </x:is>
      </x:c>
      <x:c r="B21" s="9" t="inlineStr">
        <x:is>
          <x:t xml:space="preserve">Destination</x:t>
        </x:is>
      </x:c>
      <x:c r="C21" s="9" t="inlineStr">
        <x:is>
          <x:t xml:space="preserve">1 Pallet</x:t>
        </x:is>
      </x:c>
      <x:c r="D21" s="9" t="inlineStr">
        <x:is>
          <x:t xml:space="preserve">5 Pallets</x:t>
        </x:is>
      </x:c>
      <x:c r="E21" s="9" t="inlineStr">
        <x:is>
          <x:t xml:space="preserve">10 Pallets</x:t>
        </x:is>
      </x:c>
      <x:c r="F21" s="9" t="inlineStr">
        <x:is>
          <x:t xml:space="preserve">Full Truckload</x:t>
        </x:is>
      </x:c>
    </x:row>
    <x:row r="22" ht="22" customHeight="1">
      <x:c r="A22" s="20" t="inlineStr">
        <x:is>
          <x:t xml:space="preserve">Des Moines, IA</x:t>
        </x:is>
      </x:c>
      <x:c r="B22" s="20" t="inlineStr">
        <x:is>
          <x:t xml:space="preserve">Salt Lake City, UT</x:t>
        </x:is>
      </x:c>
      <x:c r="C22" s="27">
        <x:f>IF(SUMIFS('Quote Entry'!$P$4:$P$51,'Quote Entry'!$B$4:$B$51,$A22,'Quote Entry'!$C$4:$C$51,$B22,'Quote Entry'!$D$4:$D$51,C$21)=0,"",SUMIFS('Quote Entry'!$P$4:$P$51,'Quote Entry'!$B$4:$B$51,$A22,'Quote Entry'!$C$4:$C$51,$B22,'Quote Entry'!$D$4:$D$51,C$21))</x:f>
      </x:c>
      <x:c r="D22" s="27">
        <x:f>IF(SUMIFS('Quote Entry'!$P$4:$P$51,'Quote Entry'!$B$4:$B$51,$A22,'Quote Entry'!$C$4:$C$51,$B22,'Quote Entry'!$D$4:$D$51,D$21)=0,"",SUMIFS('Quote Entry'!$P$4:$P$51,'Quote Entry'!$B$4:$B$51,$A22,'Quote Entry'!$C$4:$C$51,$B22,'Quote Entry'!$D$4:$D$51,D$21))</x:f>
      </x:c>
      <x:c r="E22" s="27">
        <x:f>IF(SUMIFS('Quote Entry'!$P$4:$P$51,'Quote Entry'!$B$4:$B$51,$A22,'Quote Entry'!$C$4:$C$51,$B22,'Quote Entry'!$D$4:$D$51,E$21)=0,"",SUMIFS('Quote Entry'!$P$4:$P$51,'Quote Entry'!$B$4:$B$51,$A22,'Quote Entry'!$C$4:$C$51,$B22,'Quote Entry'!$D$4:$D$51,E$21))</x:f>
      </x:c>
      <x:c r="F22" s="27">
        <x:f>IF(SUMIFS('Quote Entry'!$P$4:$P$51,'Quote Entry'!$B$4:$B$51,$A22,'Quote Entry'!$C$4:$C$51,$B22,'Quote Entry'!$D$4:$D$51,F$21)=0,"",SUMIFS('Quote Entry'!$P$4:$P$51,'Quote Entry'!$B$4:$B$51,$A22,'Quote Entry'!$C$4:$C$51,$B22,'Quote Entry'!$D$4:$D$51,F$21))</x:f>
      </x:c>
    </x:row>
    <x:row r="23" ht="22" customHeight="1">
      <x:c r="A23" s="20" t="inlineStr">
        <x:is>
          <x:t xml:space="preserve">Des Moines, IA</x:t>
        </x:is>
      </x:c>
      <x:c r="B23" s="20" t="inlineStr">
        <x:is>
          <x:t xml:space="preserve">Los Angeles, CA</x:t>
        </x:is>
      </x:c>
      <x:c r="C23" s="27">
        <x:f>IF(SUMIFS('Quote Entry'!$P$4:$P$51,'Quote Entry'!$B$4:$B$51,$A23,'Quote Entry'!$C$4:$C$51,$B23,'Quote Entry'!$D$4:$D$51,C$21)=0,"",SUMIFS('Quote Entry'!$P$4:$P$51,'Quote Entry'!$B$4:$B$51,$A23,'Quote Entry'!$C$4:$C$51,$B23,'Quote Entry'!$D$4:$D$51,C$21))</x:f>
      </x:c>
      <x:c r="D23" s="27">
        <x:f>IF(SUMIFS('Quote Entry'!$P$4:$P$51,'Quote Entry'!$B$4:$B$51,$A23,'Quote Entry'!$C$4:$C$51,$B23,'Quote Entry'!$D$4:$D$51,D$21)=0,"",SUMIFS('Quote Entry'!$P$4:$P$51,'Quote Entry'!$B$4:$B$51,$A23,'Quote Entry'!$C$4:$C$51,$B23,'Quote Entry'!$D$4:$D$51,D$21))</x:f>
      </x:c>
      <x:c r="E23" s="27">
        <x:f>IF(SUMIFS('Quote Entry'!$P$4:$P$51,'Quote Entry'!$B$4:$B$51,$A23,'Quote Entry'!$C$4:$C$51,$B23,'Quote Entry'!$D$4:$D$51,E$21)=0,"",SUMIFS('Quote Entry'!$P$4:$P$51,'Quote Entry'!$B$4:$B$51,$A23,'Quote Entry'!$C$4:$C$51,$B23,'Quote Entry'!$D$4:$D$51,E$21))</x:f>
      </x:c>
      <x:c r="F23" s="27">
        <x:f>IF(SUMIFS('Quote Entry'!$P$4:$P$51,'Quote Entry'!$B$4:$B$51,$A23,'Quote Entry'!$C$4:$C$51,$B23,'Quote Entry'!$D$4:$D$51,F$21)=0,"",SUMIFS('Quote Entry'!$P$4:$P$51,'Quote Entry'!$B$4:$B$51,$A23,'Quote Entry'!$C$4:$C$51,$B23,'Quote Entry'!$D$4:$D$51,F$21))</x:f>
      </x:c>
    </x:row>
    <x:row r="24" ht="22" customHeight="1">
      <x:c r="A24" s="20" t="inlineStr">
        <x:is>
          <x:t xml:space="preserve">Des Moines, IA</x:t>
        </x:is>
      </x:c>
      <x:c r="B24" s="20" t="inlineStr">
        <x:is>
          <x:t xml:space="preserve">New York, NY</x:t>
        </x:is>
      </x:c>
      <x:c r="C24" s="27">
        <x:f>IF(SUMIFS('Quote Entry'!$P$4:$P$51,'Quote Entry'!$B$4:$B$51,$A24,'Quote Entry'!$C$4:$C$51,$B24,'Quote Entry'!$D$4:$D$51,C$21)=0,"",SUMIFS('Quote Entry'!$P$4:$P$51,'Quote Entry'!$B$4:$B$51,$A24,'Quote Entry'!$C$4:$C$51,$B24,'Quote Entry'!$D$4:$D$51,C$21))</x:f>
      </x:c>
      <x:c r="D24" s="27">
        <x:f>IF(SUMIFS('Quote Entry'!$P$4:$P$51,'Quote Entry'!$B$4:$B$51,$A24,'Quote Entry'!$C$4:$C$51,$B24,'Quote Entry'!$D$4:$D$51,D$21)=0,"",SUMIFS('Quote Entry'!$P$4:$P$51,'Quote Entry'!$B$4:$B$51,$A24,'Quote Entry'!$C$4:$C$51,$B24,'Quote Entry'!$D$4:$D$51,D$21))</x:f>
      </x:c>
      <x:c r="E24" s="27">
        <x:f>IF(SUMIFS('Quote Entry'!$P$4:$P$51,'Quote Entry'!$B$4:$B$51,$A24,'Quote Entry'!$C$4:$C$51,$B24,'Quote Entry'!$D$4:$D$51,E$21)=0,"",SUMIFS('Quote Entry'!$P$4:$P$51,'Quote Entry'!$B$4:$B$51,$A24,'Quote Entry'!$C$4:$C$51,$B24,'Quote Entry'!$D$4:$D$51,E$21))</x:f>
      </x:c>
      <x:c r="F24" s="27">
        <x:f>IF(SUMIFS('Quote Entry'!$P$4:$P$51,'Quote Entry'!$B$4:$B$51,$A24,'Quote Entry'!$C$4:$C$51,$B24,'Quote Entry'!$D$4:$D$51,F$21)=0,"",SUMIFS('Quote Entry'!$P$4:$P$51,'Quote Entry'!$B$4:$B$51,$A24,'Quote Entry'!$C$4:$C$51,$B24,'Quote Entry'!$D$4:$D$51,F$21))</x:f>
      </x:c>
    </x:row>
    <x:row r="25" ht="22" customHeight="1">
      <x:c r="A25" s="20" t="inlineStr">
        <x:is>
          <x:t xml:space="preserve">Des Moines, IA</x:t>
        </x:is>
      </x:c>
      <x:c r="B25" s="20" t="inlineStr">
        <x:is>
          <x:t xml:space="preserve">Boston, MA</x:t>
        </x:is>
      </x:c>
      <x:c r="C25" s="27">
        <x:f>IF(SUMIFS('Quote Entry'!$P$4:$P$51,'Quote Entry'!$B$4:$B$51,$A25,'Quote Entry'!$C$4:$C$51,$B25,'Quote Entry'!$D$4:$D$51,C$21)=0,"",SUMIFS('Quote Entry'!$P$4:$P$51,'Quote Entry'!$B$4:$B$51,$A25,'Quote Entry'!$C$4:$C$51,$B25,'Quote Entry'!$D$4:$D$51,C$21))</x:f>
      </x:c>
      <x:c r="D25" s="27">
        <x:f>IF(SUMIFS('Quote Entry'!$P$4:$P$51,'Quote Entry'!$B$4:$B$51,$A25,'Quote Entry'!$C$4:$C$51,$B25,'Quote Entry'!$D$4:$D$51,D$21)=0,"",SUMIFS('Quote Entry'!$P$4:$P$51,'Quote Entry'!$B$4:$B$51,$A25,'Quote Entry'!$C$4:$C$51,$B25,'Quote Entry'!$D$4:$D$51,D$21))</x:f>
      </x:c>
      <x:c r="E25" s="27">
        <x:f>IF(SUMIFS('Quote Entry'!$P$4:$P$51,'Quote Entry'!$B$4:$B$51,$A25,'Quote Entry'!$C$4:$C$51,$B25,'Quote Entry'!$D$4:$D$51,E$21)=0,"",SUMIFS('Quote Entry'!$P$4:$P$51,'Quote Entry'!$B$4:$B$51,$A25,'Quote Entry'!$C$4:$C$51,$B25,'Quote Entry'!$D$4:$D$51,E$21))</x:f>
      </x:c>
      <x:c r="F25" s="27">
        <x:f>IF(SUMIFS('Quote Entry'!$P$4:$P$51,'Quote Entry'!$B$4:$B$51,$A25,'Quote Entry'!$C$4:$C$51,$B25,'Quote Entry'!$D$4:$D$51,F$21)=0,"",SUMIFS('Quote Entry'!$P$4:$P$51,'Quote Entry'!$B$4:$B$51,$A25,'Quote Entry'!$C$4:$C$51,$B25,'Quote Entry'!$D$4:$D$51,F$21))</x:f>
      </x:c>
    </x:row>
    <x:row r="26" ht="22" customHeight="1">
      <x:c r="A26" s="20" t="inlineStr">
        <x:is>
          <x:t xml:space="preserve">Des Moines, IA</x:t>
        </x:is>
      </x:c>
      <x:c r="B26" s="20" t="inlineStr">
        <x:is>
          <x:t xml:space="preserve">Dallas, TX</x:t>
        </x:is>
      </x:c>
      <x:c r="C26" s="27">
        <x:f>IF(SUMIFS('Quote Entry'!$P$4:$P$51,'Quote Entry'!$B$4:$B$51,$A26,'Quote Entry'!$C$4:$C$51,$B26,'Quote Entry'!$D$4:$D$51,C$21)=0,"",SUMIFS('Quote Entry'!$P$4:$P$51,'Quote Entry'!$B$4:$B$51,$A26,'Quote Entry'!$C$4:$C$51,$B26,'Quote Entry'!$D$4:$D$51,C$21))</x:f>
      </x:c>
      <x:c r="D26" s="27">
        <x:f>IF(SUMIFS('Quote Entry'!$P$4:$P$51,'Quote Entry'!$B$4:$B$51,$A26,'Quote Entry'!$C$4:$C$51,$B26,'Quote Entry'!$D$4:$D$51,D$21)=0,"",SUMIFS('Quote Entry'!$P$4:$P$51,'Quote Entry'!$B$4:$B$51,$A26,'Quote Entry'!$C$4:$C$51,$B26,'Quote Entry'!$D$4:$D$51,D$21))</x:f>
      </x:c>
      <x:c r="E26" s="27">
        <x:f>IF(SUMIFS('Quote Entry'!$P$4:$P$51,'Quote Entry'!$B$4:$B$51,$A26,'Quote Entry'!$C$4:$C$51,$B26,'Quote Entry'!$D$4:$D$51,E$21)=0,"",SUMIFS('Quote Entry'!$P$4:$P$51,'Quote Entry'!$B$4:$B$51,$A26,'Quote Entry'!$C$4:$C$51,$B26,'Quote Entry'!$D$4:$D$51,E$21))</x:f>
      </x:c>
      <x:c r="F26" s="27">
        <x:f>IF(SUMIFS('Quote Entry'!$P$4:$P$51,'Quote Entry'!$B$4:$B$51,$A26,'Quote Entry'!$C$4:$C$51,$B26,'Quote Entry'!$D$4:$D$51,F$21)=0,"",SUMIFS('Quote Entry'!$P$4:$P$51,'Quote Entry'!$B$4:$B$51,$A26,'Quote Entry'!$C$4:$C$51,$B26,'Quote Entry'!$D$4:$D$51,F$21))</x:f>
      </x:c>
    </x:row>
    <x:row r="27" ht="22" customHeight="1">
      <x:c r="A27" s="20" t="inlineStr">
        <x:is>
          <x:t xml:space="preserve">Des Moines, IA</x:t>
        </x:is>
      </x:c>
      <x:c r="B27" s="20" t="inlineStr">
        <x:is>
          <x:t xml:space="preserve">Seattle, WA</x:t>
        </x:is>
      </x:c>
      <x:c r="C27" s="27">
        <x:f>IF(SUMIFS('Quote Entry'!$P$4:$P$51,'Quote Entry'!$B$4:$B$51,$A27,'Quote Entry'!$C$4:$C$51,$B27,'Quote Entry'!$D$4:$D$51,C$21)=0,"",SUMIFS('Quote Entry'!$P$4:$P$51,'Quote Entry'!$B$4:$B$51,$A27,'Quote Entry'!$C$4:$C$51,$B27,'Quote Entry'!$D$4:$D$51,C$21))</x:f>
      </x:c>
      <x:c r="D27" s="27">
        <x:f>IF(SUMIFS('Quote Entry'!$P$4:$P$51,'Quote Entry'!$B$4:$B$51,$A27,'Quote Entry'!$C$4:$C$51,$B27,'Quote Entry'!$D$4:$D$51,D$21)=0,"",SUMIFS('Quote Entry'!$P$4:$P$51,'Quote Entry'!$B$4:$B$51,$A27,'Quote Entry'!$C$4:$C$51,$B27,'Quote Entry'!$D$4:$D$51,D$21))</x:f>
      </x:c>
      <x:c r="E27" s="27">
        <x:f>IF(SUMIFS('Quote Entry'!$P$4:$P$51,'Quote Entry'!$B$4:$B$51,$A27,'Quote Entry'!$C$4:$C$51,$B27,'Quote Entry'!$D$4:$D$51,E$21)=0,"",SUMIFS('Quote Entry'!$P$4:$P$51,'Quote Entry'!$B$4:$B$51,$A27,'Quote Entry'!$C$4:$C$51,$B27,'Quote Entry'!$D$4:$D$51,E$21))</x:f>
      </x:c>
      <x:c r="F27" s="27">
        <x:f>IF(SUMIFS('Quote Entry'!$P$4:$P$51,'Quote Entry'!$B$4:$B$51,$A27,'Quote Entry'!$C$4:$C$51,$B27,'Quote Entry'!$D$4:$D$51,F$21)=0,"",SUMIFS('Quote Entry'!$P$4:$P$51,'Quote Entry'!$B$4:$B$51,$A27,'Quote Entry'!$C$4:$C$51,$B27,'Quote Entry'!$D$4:$D$51,F$21))</x:f>
      </x:c>
    </x:row>
    <x:row r="28" ht="22" customHeight="1">
      <x:c r="A28" s="20" t="inlineStr">
        <x:is>
          <x:t xml:space="preserve">TN Canning Site</x:t>
        </x:is>
      </x:c>
      <x:c r="B28" s="20" t="inlineStr">
        <x:is>
          <x:t xml:space="preserve">Salt Lake City, UT</x:t>
        </x:is>
      </x:c>
      <x:c r="C28" s="27">
        <x:f>IF(SUMIFS('Quote Entry'!$P$4:$P$51,'Quote Entry'!$B$4:$B$51,$A28,'Quote Entry'!$C$4:$C$51,$B28,'Quote Entry'!$D$4:$D$51,C$21)=0,"",SUMIFS('Quote Entry'!$P$4:$P$51,'Quote Entry'!$B$4:$B$51,$A28,'Quote Entry'!$C$4:$C$51,$B28,'Quote Entry'!$D$4:$D$51,C$21))</x:f>
      </x:c>
      <x:c r="D28" s="27">
        <x:f>IF(SUMIFS('Quote Entry'!$P$4:$P$51,'Quote Entry'!$B$4:$B$51,$A28,'Quote Entry'!$C$4:$C$51,$B28,'Quote Entry'!$D$4:$D$51,D$21)=0,"",SUMIFS('Quote Entry'!$P$4:$P$51,'Quote Entry'!$B$4:$B$51,$A28,'Quote Entry'!$C$4:$C$51,$B28,'Quote Entry'!$D$4:$D$51,D$21))</x:f>
      </x:c>
      <x:c r="E28" s="27">
        <x:f>IF(SUMIFS('Quote Entry'!$P$4:$P$51,'Quote Entry'!$B$4:$B$51,$A28,'Quote Entry'!$C$4:$C$51,$B28,'Quote Entry'!$D$4:$D$51,E$21)=0,"",SUMIFS('Quote Entry'!$P$4:$P$51,'Quote Entry'!$B$4:$B$51,$A28,'Quote Entry'!$C$4:$C$51,$B28,'Quote Entry'!$D$4:$D$51,E$21))</x:f>
      </x:c>
      <x:c r="F28" s="27">
        <x:f>IF(SUMIFS('Quote Entry'!$P$4:$P$51,'Quote Entry'!$B$4:$B$51,$A28,'Quote Entry'!$C$4:$C$51,$B28,'Quote Entry'!$D$4:$D$51,F$21)=0,"",SUMIFS('Quote Entry'!$P$4:$P$51,'Quote Entry'!$B$4:$B$51,$A28,'Quote Entry'!$C$4:$C$51,$B28,'Quote Entry'!$D$4:$D$51,F$21))</x:f>
      </x:c>
    </x:row>
    <x:row r="29" ht="22" customHeight="1">
      <x:c r="A29" s="20" t="inlineStr">
        <x:is>
          <x:t xml:space="preserve">TN Canning Site</x:t>
        </x:is>
      </x:c>
      <x:c r="B29" s="20" t="inlineStr">
        <x:is>
          <x:t xml:space="preserve">Los Angeles, CA</x:t>
        </x:is>
      </x:c>
      <x:c r="C29" s="27">
        <x:f>IF(SUMIFS('Quote Entry'!$P$4:$P$51,'Quote Entry'!$B$4:$B$51,$A29,'Quote Entry'!$C$4:$C$51,$B29,'Quote Entry'!$D$4:$D$51,C$21)=0,"",SUMIFS('Quote Entry'!$P$4:$P$51,'Quote Entry'!$B$4:$B$51,$A29,'Quote Entry'!$C$4:$C$51,$B29,'Quote Entry'!$D$4:$D$51,C$21))</x:f>
      </x:c>
      <x:c r="D29" s="27">
        <x:f>IF(SUMIFS('Quote Entry'!$P$4:$P$51,'Quote Entry'!$B$4:$B$51,$A29,'Quote Entry'!$C$4:$C$51,$B29,'Quote Entry'!$D$4:$D$51,D$21)=0,"",SUMIFS('Quote Entry'!$P$4:$P$51,'Quote Entry'!$B$4:$B$51,$A29,'Quote Entry'!$C$4:$C$51,$B29,'Quote Entry'!$D$4:$D$51,D$21))</x:f>
      </x:c>
      <x:c r="E29" s="27">
        <x:f>IF(SUMIFS('Quote Entry'!$P$4:$P$51,'Quote Entry'!$B$4:$B$51,$A29,'Quote Entry'!$C$4:$C$51,$B29,'Quote Entry'!$D$4:$D$51,E$21)=0,"",SUMIFS('Quote Entry'!$P$4:$P$51,'Quote Entry'!$B$4:$B$51,$A29,'Quote Entry'!$C$4:$C$51,$B29,'Quote Entry'!$D$4:$D$51,E$21))</x:f>
      </x:c>
      <x:c r="F29" s="27">
        <x:f>IF(SUMIFS('Quote Entry'!$P$4:$P$51,'Quote Entry'!$B$4:$B$51,$A29,'Quote Entry'!$C$4:$C$51,$B29,'Quote Entry'!$D$4:$D$51,F$21)=0,"",SUMIFS('Quote Entry'!$P$4:$P$51,'Quote Entry'!$B$4:$B$51,$A29,'Quote Entry'!$C$4:$C$51,$B29,'Quote Entry'!$D$4:$D$51,F$21))</x:f>
      </x:c>
    </x:row>
    <x:row r="30" ht="22" customHeight="1">
      <x:c r="A30" s="20" t="inlineStr">
        <x:is>
          <x:t xml:space="preserve">TN Canning Site</x:t>
        </x:is>
      </x:c>
      <x:c r="B30" s="20" t="inlineStr">
        <x:is>
          <x:t xml:space="preserve">New York, NY</x:t>
        </x:is>
      </x:c>
      <x:c r="C30" s="27">
        <x:f>IF(SUMIFS('Quote Entry'!$P$4:$P$51,'Quote Entry'!$B$4:$B$51,$A30,'Quote Entry'!$C$4:$C$51,$B30,'Quote Entry'!$D$4:$D$51,C$21)=0,"",SUMIFS('Quote Entry'!$P$4:$P$51,'Quote Entry'!$B$4:$B$51,$A30,'Quote Entry'!$C$4:$C$51,$B30,'Quote Entry'!$D$4:$D$51,C$21))</x:f>
      </x:c>
      <x:c r="D30" s="27">
        <x:f>IF(SUMIFS('Quote Entry'!$P$4:$P$51,'Quote Entry'!$B$4:$B$51,$A30,'Quote Entry'!$C$4:$C$51,$B30,'Quote Entry'!$D$4:$D$51,D$21)=0,"",SUMIFS('Quote Entry'!$P$4:$P$51,'Quote Entry'!$B$4:$B$51,$A30,'Quote Entry'!$C$4:$C$51,$B30,'Quote Entry'!$D$4:$D$51,D$21))</x:f>
      </x:c>
      <x:c r="E30" s="27">
        <x:f>IF(SUMIFS('Quote Entry'!$P$4:$P$51,'Quote Entry'!$B$4:$B$51,$A30,'Quote Entry'!$C$4:$C$51,$B30,'Quote Entry'!$D$4:$D$51,E$21)=0,"",SUMIFS('Quote Entry'!$P$4:$P$51,'Quote Entry'!$B$4:$B$51,$A30,'Quote Entry'!$C$4:$C$51,$B30,'Quote Entry'!$D$4:$D$51,E$21))</x:f>
      </x:c>
      <x:c r="F30" s="27">
        <x:f>IF(SUMIFS('Quote Entry'!$P$4:$P$51,'Quote Entry'!$B$4:$B$51,$A30,'Quote Entry'!$C$4:$C$51,$B30,'Quote Entry'!$D$4:$D$51,F$21)=0,"",SUMIFS('Quote Entry'!$P$4:$P$51,'Quote Entry'!$B$4:$B$51,$A30,'Quote Entry'!$C$4:$C$51,$B30,'Quote Entry'!$D$4:$D$51,F$21))</x:f>
      </x:c>
    </x:row>
    <x:row r="31" ht="22" customHeight="1">
      <x:c r="A31" s="20" t="inlineStr">
        <x:is>
          <x:t xml:space="preserve">TN Canning Site</x:t>
        </x:is>
      </x:c>
      <x:c r="B31" s="20" t="inlineStr">
        <x:is>
          <x:t xml:space="preserve">Boston, MA</x:t>
        </x:is>
      </x:c>
      <x:c r="C31" s="27">
        <x:f>IF(SUMIFS('Quote Entry'!$P$4:$P$51,'Quote Entry'!$B$4:$B$51,$A31,'Quote Entry'!$C$4:$C$51,$B31,'Quote Entry'!$D$4:$D$51,C$21)=0,"",SUMIFS('Quote Entry'!$P$4:$P$51,'Quote Entry'!$B$4:$B$51,$A31,'Quote Entry'!$C$4:$C$51,$B31,'Quote Entry'!$D$4:$D$51,C$21))</x:f>
      </x:c>
      <x:c r="D31" s="27">
        <x:f>IF(SUMIFS('Quote Entry'!$P$4:$P$51,'Quote Entry'!$B$4:$B$51,$A31,'Quote Entry'!$C$4:$C$51,$B31,'Quote Entry'!$D$4:$D$51,D$21)=0,"",SUMIFS('Quote Entry'!$P$4:$P$51,'Quote Entry'!$B$4:$B$51,$A31,'Quote Entry'!$C$4:$C$51,$B31,'Quote Entry'!$D$4:$D$51,D$21))</x:f>
      </x:c>
      <x:c r="E31" s="27">
        <x:f>IF(SUMIFS('Quote Entry'!$P$4:$P$51,'Quote Entry'!$B$4:$B$51,$A31,'Quote Entry'!$C$4:$C$51,$B31,'Quote Entry'!$D$4:$D$51,E$21)=0,"",SUMIFS('Quote Entry'!$P$4:$P$51,'Quote Entry'!$B$4:$B$51,$A31,'Quote Entry'!$C$4:$C$51,$B31,'Quote Entry'!$D$4:$D$51,E$21))</x:f>
      </x:c>
      <x:c r="F31" s="27">
        <x:f>IF(SUMIFS('Quote Entry'!$P$4:$P$51,'Quote Entry'!$B$4:$B$51,$A31,'Quote Entry'!$C$4:$C$51,$B31,'Quote Entry'!$D$4:$D$51,F$21)=0,"",SUMIFS('Quote Entry'!$P$4:$P$51,'Quote Entry'!$B$4:$B$51,$A31,'Quote Entry'!$C$4:$C$51,$B31,'Quote Entry'!$D$4:$D$51,F$21))</x:f>
      </x:c>
    </x:row>
    <x:row r="32" ht="22" customHeight="1">
      <x:c r="A32" s="20" t="inlineStr">
        <x:is>
          <x:t xml:space="preserve">TN Canning Site</x:t>
        </x:is>
      </x:c>
      <x:c r="B32" s="20" t="inlineStr">
        <x:is>
          <x:t xml:space="preserve">Dallas, TX</x:t>
        </x:is>
      </x:c>
      <x:c r="C32" s="27">
        <x:f>IF(SUMIFS('Quote Entry'!$P$4:$P$51,'Quote Entry'!$B$4:$B$51,$A32,'Quote Entry'!$C$4:$C$51,$B32,'Quote Entry'!$D$4:$D$51,C$21)=0,"",SUMIFS('Quote Entry'!$P$4:$P$51,'Quote Entry'!$B$4:$B$51,$A32,'Quote Entry'!$C$4:$C$51,$B32,'Quote Entry'!$D$4:$D$51,C$21))</x:f>
      </x:c>
      <x:c r="D32" s="27">
        <x:f>IF(SUMIFS('Quote Entry'!$P$4:$P$51,'Quote Entry'!$B$4:$B$51,$A32,'Quote Entry'!$C$4:$C$51,$B32,'Quote Entry'!$D$4:$D$51,D$21)=0,"",SUMIFS('Quote Entry'!$P$4:$P$51,'Quote Entry'!$B$4:$B$51,$A32,'Quote Entry'!$C$4:$C$51,$B32,'Quote Entry'!$D$4:$D$51,D$21))</x:f>
      </x:c>
      <x:c r="E32" s="27">
        <x:f>IF(SUMIFS('Quote Entry'!$P$4:$P$51,'Quote Entry'!$B$4:$B$51,$A32,'Quote Entry'!$C$4:$C$51,$B32,'Quote Entry'!$D$4:$D$51,E$21)=0,"",SUMIFS('Quote Entry'!$P$4:$P$51,'Quote Entry'!$B$4:$B$51,$A32,'Quote Entry'!$C$4:$C$51,$B32,'Quote Entry'!$D$4:$D$51,E$21))</x:f>
      </x:c>
      <x:c r="F32" s="27">
        <x:f>IF(SUMIFS('Quote Entry'!$P$4:$P$51,'Quote Entry'!$B$4:$B$51,$A32,'Quote Entry'!$C$4:$C$51,$B32,'Quote Entry'!$D$4:$D$51,F$21)=0,"",SUMIFS('Quote Entry'!$P$4:$P$51,'Quote Entry'!$B$4:$B$51,$A32,'Quote Entry'!$C$4:$C$51,$B32,'Quote Entry'!$D$4:$D$51,F$21))</x:f>
      </x:c>
    </x:row>
    <x:row r="33" ht="22" customHeight="1">
      <x:c r="A33" s="20" t="inlineStr">
        <x:is>
          <x:t xml:space="preserve">TN Canning Site</x:t>
        </x:is>
      </x:c>
      <x:c r="B33" s="20" t="inlineStr">
        <x:is>
          <x:t xml:space="preserve">Seattle, WA</x:t>
        </x:is>
      </x:c>
      <x:c r="C33" s="27">
        <x:f>IF(SUMIFS('Quote Entry'!$P$4:$P$51,'Quote Entry'!$B$4:$B$51,$A33,'Quote Entry'!$C$4:$C$51,$B33,'Quote Entry'!$D$4:$D$51,C$21)=0,"",SUMIFS('Quote Entry'!$P$4:$P$51,'Quote Entry'!$B$4:$B$51,$A33,'Quote Entry'!$C$4:$C$51,$B33,'Quote Entry'!$D$4:$D$51,C$21))</x:f>
      </x:c>
      <x:c r="D33" s="27">
        <x:f>IF(SUMIFS('Quote Entry'!$P$4:$P$51,'Quote Entry'!$B$4:$B$51,$A33,'Quote Entry'!$C$4:$C$51,$B33,'Quote Entry'!$D$4:$D$51,D$21)=0,"",SUMIFS('Quote Entry'!$P$4:$P$51,'Quote Entry'!$B$4:$B$51,$A33,'Quote Entry'!$C$4:$C$51,$B33,'Quote Entry'!$D$4:$D$51,D$21))</x:f>
      </x:c>
      <x:c r="E33" s="27">
        <x:f>IF(SUMIFS('Quote Entry'!$P$4:$P$51,'Quote Entry'!$B$4:$B$51,$A33,'Quote Entry'!$C$4:$C$51,$B33,'Quote Entry'!$D$4:$D$51,E$21)=0,"",SUMIFS('Quote Entry'!$P$4:$P$51,'Quote Entry'!$B$4:$B$51,$A33,'Quote Entry'!$C$4:$C$51,$B33,'Quote Entry'!$D$4:$D$51,E$21))</x:f>
      </x:c>
      <x:c r="F33" s="27">
        <x:f>IF(SUMIFS('Quote Entry'!$P$4:$P$51,'Quote Entry'!$B$4:$B$51,$A33,'Quote Entry'!$C$4:$C$51,$B33,'Quote Entry'!$D$4:$D$51,F$21)=0,"",SUMIFS('Quote Entry'!$P$4:$P$51,'Quote Entry'!$B$4:$B$51,$A33,'Quote Entry'!$C$4:$C$51,$B33,'Quote Entry'!$D$4:$D$51,F$21))</x:f>
      </x:c>
    </x:row>
    <x:row r="34" ht="22" customHeight="1"/>
  </x:sheetData>
  <x:mergeCells>
    <x:mergeCell ref="A20:F20"/>
    <x:mergeCell ref="A2:F2"/>
    <x:mergeCell ref="A1:F1"/>
    <x:mergeCell ref="A4:F4"/>
  </x:mergeCells>
  <x:pageMargins left="0.7" right="0.7" top="0.75" bottom="0.75" header="0.3" footer="0.3"/>
</x:worksheet>
</file>